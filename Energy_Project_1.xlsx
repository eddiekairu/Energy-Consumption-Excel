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Eddie Kairu\Desktop\"/>
    </mc:Choice>
  </mc:AlternateContent>
  <xr:revisionPtr revIDLastSave="0" documentId="13_ncr:1_{6D2AE6B6-D8F4-40F9-B3F9-D1818E5B9E79}" xr6:coauthVersionLast="47" xr6:coauthVersionMax="47" xr10:uidLastSave="{00000000-0000-0000-0000-000000000000}"/>
  <bookViews>
    <workbookView xWindow="-110" yWindow="-110" windowWidth="19420" windowHeight="10300" activeTab="2" xr2:uid="{00000000-000D-0000-FFFF-FFFF00000000}"/>
  </bookViews>
  <sheets>
    <sheet name="Energy_Transition_Analysis" sheetId="3" r:id="rId1"/>
    <sheet name="Crossover_Analysis_Charts" sheetId="5" r:id="rId2"/>
    <sheet name="Monthly Data" sheetId="1" r:id="rId3"/>
    <sheet name="Annual Data" sheetId="2" r:id="rId4"/>
  </sheets>
  <definedNames>
    <definedName name="Slicer_Timeline">#N/A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5"/>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651" i="1" l="1"/>
  <c r="C650" i="1"/>
  <c r="C649"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12" i="1"/>
  <c r="C686" i="3"/>
  <c r="C671" i="3"/>
  <c r="C735" i="3"/>
  <c r="C680" i="3"/>
  <c r="C744" i="3"/>
  <c r="C689" i="3"/>
  <c r="C670" i="3"/>
  <c r="C698" i="3"/>
  <c r="C651" i="3"/>
  <c r="C715" i="3"/>
  <c r="C644" i="3"/>
  <c r="C708" i="3"/>
  <c r="C653" i="3"/>
  <c r="C717" i="3"/>
  <c r="C710" i="3"/>
  <c r="C704" i="3"/>
  <c r="C649" i="3"/>
  <c r="C658" i="3"/>
  <c r="C739" i="3"/>
  <c r="C732" i="3"/>
  <c r="C639" i="3"/>
  <c r="C712" i="3"/>
  <c r="C666" i="3"/>
  <c r="C683" i="3"/>
  <c r="C676" i="3"/>
  <c r="C638" i="3"/>
  <c r="C679" i="3"/>
  <c r="C743" i="3"/>
  <c r="C688" i="3"/>
  <c r="C662" i="3"/>
  <c r="C697" i="3"/>
  <c r="C642" i="3"/>
  <c r="C706" i="3"/>
  <c r="C659" i="3"/>
  <c r="C723" i="3"/>
  <c r="C652" i="3"/>
  <c r="C716" i="3"/>
  <c r="C661" i="3"/>
  <c r="C725" i="3"/>
  <c r="C726" i="3"/>
  <c r="C687" i="3"/>
  <c r="C678" i="3"/>
  <c r="C696" i="3"/>
  <c r="C641" i="3"/>
  <c r="C705" i="3"/>
  <c r="C650" i="3"/>
  <c r="C714" i="3"/>
  <c r="C667" i="3"/>
  <c r="C731" i="3"/>
  <c r="C660" i="3"/>
  <c r="C724" i="3"/>
  <c r="C669" i="3"/>
  <c r="C733" i="3"/>
  <c r="C742" i="3"/>
  <c r="C640" i="3"/>
  <c r="C713" i="3"/>
  <c r="C675" i="3"/>
  <c r="C668" i="3"/>
  <c r="C741" i="3"/>
  <c r="C648" i="3"/>
  <c r="C730" i="3"/>
  <c r="C740" i="3"/>
  <c r="C695" i="3"/>
  <c r="C722" i="3"/>
  <c r="C677" i="3"/>
  <c r="C703" i="3"/>
  <c r="C657" i="3"/>
  <c r="C721" i="3"/>
  <c r="C747" i="3"/>
  <c r="C685" i="3"/>
  <c r="C719" i="3"/>
  <c r="C665" i="3"/>
  <c r="C690" i="3"/>
  <c r="C718" i="3"/>
  <c r="C693" i="3"/>
  <c r="C681" i="3"/>
  <c r="C709" i="3"/>
  <c r="C729" i="3"/>
  <c r="C692" i="3"/>
  <c r="C647" i="3"/>
  <c r="C691" i="3"/>
  <c r="C720" i="3"/>
  <c r="C699" i="3"/>
  <c r="C702" i="3"/>
  <c r="C728" i="3"/>
  <c r="C707" i="3"/>
  <c r="C711" i="3"/>
  <c r="C645" i="3"/>
  <c r="C727" i="3"/>
  <c r="C673" i="3"/>
  <c r="C738" i="3"/>
  <c r="C734" i="3"/>
  <c r="C701" i="3"/>
  <c r="C746" i="3"/>
  <c r="C684" i="3"/>
  <c r="C664" i="3"/>
  <c r="C643" i="3"/>
  <c r="C672" i="3"/>
  <c r="C700" i="3"/>
  <c r="C694" i="3"/>
  <c r="C655" i="3"/>
  <c r="C748" i="3"/>
  <c r="C663" i="3"/>
  <c r="C654" i="3"/>
  <c r="C736" i="3"/>
  <c r="C646" i="3"/>
  <c r="C656" i="3"/>
  <c r="C737" i="3"/>
  <c r="C745" i="3"/>
  <c r="C674" i="3"/>
  <c r="C682" i="3"/>
  <c r="E682" i="3"/>
  <c r="E686" i="3"/>
  <c r="E654" i="3"/>
  <c r="D694" i="3"/>
  <c r="D664" i="3"/>
  <c r="E734" i="3"/>
  <c r="D645" i="3"/>
  <c r="D702" i="3"/>
  <c r="E647" i="3"/>
  <c r="E681" i="3"/>
  <c r="D665" i="3"/>
  <c r="E721" i="3"/>
  <c r="E722" i="3"/>
  <c r="D648" i="3"/>
  <c r="D713" i="3"/>
  <c r="D669" i="3"/>
  <c r="D667" i="3"/>
  <c r="D641" i="3"/>
  <c r="E726" i="3"/>
  <c r="E652" i="3"/>
  <c r="D642" i="3"/>
  <c r="E743" i="3"/>
  <c r="D683" i="3"/>
  <c r="D732" i="3"/>
  <c r="E704" i="3"/>
  <c r="D708" i="3"/>
  <c r="E698" i="3"/>
  <c r="E680" i="3"/>
  <c r="E665" i="3"/>
  <c r="D722" i="3"/>
  <c r="E713" i="3"/>
  <c r="E669" i="3"/>
  <c r="E641" i="3"/>
  <c r="D726" i="3"/>
  <c r="D652" i="3"/>
  <c r="D743" i="3"/>
  <c r="E683" i="3"/>
  <c r="D704" i="3"/>
  <c r="E708" i="3"/>
  <c r="D698" i="3"/>
  <c r="E710" i="3"/>
  <c r="E670" i="3"/>
  <c r="E674" i="3"/>
  <c r="E700" i="3"/>
  <c r="D738" i="3"/>
  <c r="E699" i="3"/>
  <c r="D719" i="3"/>
  <c r="D741" i="3"/>
  <c r="D724" i="3"/>
  <c r="E723" i="3"/>
  <c r="D666" i="3"/>
  <c r="D710" i="3"/>
  <c r="D735" i="3"/>
  <c r="E646" i="3"/>
  <c r="E672" i="3"/>
  <c r="D720" i="3"/>
  <c r="D718" i="3"/>
  <c r="E740" i="3"/>
  <c r="E660" i="3"/>
  <c r="E678" i="3"/>
  <c r="D662" i="3"/>
  <c r="E658" i="3"/>
  <c r="E715" i="3"/>
  <c r="E745" i="3"/>
  <c r="D746" i="3"/>
  <c r="E720" i="3"/>
  <c r="E718" i="3"/>
  <c r="E703" i="3"/>
  <c r="D742" i="3"/>
  <c r="D678" i="3"/>
  <c r="E662" i="3"/>
  <c r="E717" i="3"/>
  <c r="D671" i="3"/>
  <c r="D736" i="3"/>
  <c r="E643" i="3"/>
  <c r="D691" i="3"/>
  <c r="D690" i="3"/>
  <c r="D730" i="3"/>
  <c r="D733" i="3"/>
  <c r="E687" i="3"/>
  <c r="E676" i="3"/>
  <c r="E653" i="3"/>
  <c r="D744" i="3"/>
  <c r="D655" i="3"/>
  <c r="E701" i="3"/>
  <c r="E728" i="3"/>
  <c r="E690" i="3"/>
  <c r="D675" i="3"/>
  <c r="E731" i="3"/>
  <c r="D716" i="3"/>
  <c r="D676" i="3"/>
  <c r="E651" i="3"/>
  <c r="D682" i="3"/>
  <c r="D686" i="3"/>
  <c r="D654" i="3"/>
  <c r="E694" i="3"/>
  <c r="E664" i="3"/>
  <c r="D734" i="3"/>
  <c r="E645" i="3"/>
  <c r="E702" i="3"/>
  <c r="D647" i="3"/>
  <c r="D681" i="3"/>
  <c r="D721" i="3"/>
  <c r="E648" i="3"/>
  <c r="E667" i="3"/>
  <c r="E642" i="3"/>
  <c r="E732" i="3"/>
  <c r="D680" i="3"/>
  <c r="E663" i="3"/>
  <c r="E693" i="3"/>
  <c r="E640" i="3"/>
  <c r="E696" i="3"/>
  <c r="D679" i="3"/>
  <c r="D644" i="3"/>
  <c r="E748" i="3"/>
  <c r="D673" i="3"/>
  <c r="D729" i="3"/>
  <c r="D703" i="3"/>
  <c r="E742" i="3"/>
  <c r="D661" i="3"/>
  <c r="E712" i="3"/>
  <c r="D689" i="3"/>
  <c r="D748" i="3"/>
  <c r="E673" i="3"/>
  <c r="E729" i="3"/>
  <c r="D740" i="3"/>
  <c r="D650" i="3"/>
  <c r="E659" i="3"/>
  <c r="D712" i="3"/>
  <c r="E689" i="3"/>
  <c r="E655" i="3"/>
  <c r="D727" i="3"/>
  <c r="E709" i="3"/>
  <c r="E677" i="3"/>
  <c r="D705" i="3"/>
  <c r="D706" i="3"/>
  <c r="E639" i="3"/>
  <c r="E737" i="3"/>
  <c r="D643" i="3"/>
  <c r="E691" i="3"/>
  <c r="D677" i="3"/>
  <c r="E733" i="3"/>
  <c r="D687" i="3"/>
  <c r="D688" i="3"/>
  <c r="D653" i="3"/>
  <c r="D674" i="3"/>
  <c r="D656" i="3"/>
  <c r="D663" i="3"/>
  <c r="D700" i="3"/>
  <c r="E684" i="3"/>
  <c r="E738" i="3"/>
  <c r="E711" i="3"/>
  <c r="D699" i="3"/>
  <c r="E692" i="3"/>
  <c r="D693" i="3"/>
  <c r="E719" i="3"/>
  <c r="E657" i="3"/>
  <c r="E695" i="3"/>
  <c r="E741" i="3"/>
  <c r="D640" i="3"/>
  <c r="E724" i="3"/>
  <c r="E714" i="3"/>
  <c r="D696" i="3"/>
  <c r="D725" i="3"/>
  <c r="D723" i="3"/>
  <c r="D697" i="3"/>
  <c r="E679" i="3"/>
  <c r="E666" i="3"/>
  <c r="D739" i="3"/>
  <c r="E644" i="3"/>
  <c r="E735" i="3"/>
  <c r="E656" i="3"/>
  <c r="D684" i="3"/>
  <c r="D711" i="3"/>
  <c r="D692" i="3"/>
  <c r="D657" i="3"/>
  <c r="D695" i="3"/>
  <c r="D714" i="3"/>
  <c r="E725" i="3"/>
  <c r="E697" i="3"/>
  <c r="E739" i="3"/>
  <c r="D670" i="3"/>
  <c r="D745" i="3"/>
  <c r="E746" i="3"/>
  <c r="D707" i="3"/>
  <c r="D685" i="3"/>
  <c r="E668" i="3"/>
  <c r="E650" i="3"/>
  <c r="D659" i="3"/>
  <c r="D638" i="3"/>
  <c r="D717" i="3"/>
  <c r="E671" i="3"/>
  <c r="D646" i="3"/>
  <c r="D672" i="3"/>
  <c r="E707" i="3"/>
  <c r="E685" i="3"/>
  <c r="D668" i="3"/>
  <c r="D660" i="3"/>
  <c r="E661" i="3"/>
  <c r="E638" i="3"/>
  <c r="D658" i="3"/>
  <c r="D715" i="3"/>
  <c r="D737" i="3"/>
  <c r="D701" i="3"/>
  <c r="D728" i="3"/>
  <c r="E747" i="3"/>
  <c r="E675" i="3"/>
  <c r="D731" i="3"/>
  <c r="E716" i="3"/>
  <c r="E688" i="3"/>
  <c r="D649" i="3"/>
  <c r="D651" i="3"/>
  <c r="E736" i="3"/>
  <c r="E727" i="3"/>
  <c r="D709" i="3"/>
  <c r="D747" i="3"/>
  <c r="E730" i="3"/>
  <c r="E705" i="3"/>
  <c r="E706" i="3"/>
  <c r="D639" i="3"/>
  <c r="E649" i="3"/>
  <c r="E744" i="3"/>
</calcChain>
</file>

<file path=xl/sharedStrings.xml><?xml version="1.0" encoding="utf-8"?>
<sst xmlns="http://schemas.openxmlformats.org/spreadsheetml/2006/main" count="705" uniqueCount="665">
  <si>
    <t>U.S. Energy Information Administration</t>
  </si>
  <si>
    <t>March 2026 Monthly Energy Review</t>
  </si>
  <si>
    <t>Release Date: March 26, 2026</t>
  </si>
  <si>
    <t>Next Update: April 24, 2026</t>
  </si>
  <si>
    <t>Table 1.3 Primary energy consumption by source</t>
  </si>
  <si>
    <t>Month</t>
  </si>
  <si>
    <t>Coal Consumption</t>
  </si>
  <si>
    <t>Natural Gas Consumption (Excluding Supplemental Gaseous Fuels)</t>
  </si>
  <si>
    <t>Petroleum Consumption (Excluding Biofuels)</t>
  </si>
  <si>
    <t>Total Fossil Fuels Consumption</t>
  </si>
  <si>
    <t>Nuclear Electric Power Consumption</t>
  </si>
  <si>
    <t>Hydroelectric Power Consumption</t>
  </si>
  <si>
    <t>Geothermal Energy Consumption</t>
  </si>
  <si>
    <t>Solar Energy Consumption</t>
  </si>
  <si>
    <t>Wind Energy Consumption</t>
  </si>
  <si>
    <t>Biomass Energy Consumption</t>
  </si>
  <si>
    <t>Total Renewable Energy Consumption</t>
  </si>
  <si>
    <t>Total Primary Energy Consumption</t>
  </si>
  <si>
    <t>(Quadrillion Btu)</t>
  </si>
  <si>
    <t>1973 January</t>
  </si>
  <si>
    <t>1973 February</t>
  </si>
  <si>
    <t>1973 March</t>
  </si>
  <si>
    <t>1973 April</t>
  </si>
  <si>
    <t>1973 May</t>
  </si>
  <si>
    <t>1973 June</t>
  </si>
  <si>
    <t>1973 July</t>
  </si>
  <si>
    <t>1973 August</t>
  </si>
  <si>
    <t>1973 September</t>
  </si>
  <si>
    <t>1973 October</t>
  </si>
  <si>
    <t>1973 November</t>
  </si>
  <si>
    <t>1973 December</t>
  </si>
  <si>
    <t>1974 January</t>
  </si>
  <si>
    <t>1974 February</t>
  </si>
  <si>
    <t>1974 March</t>
  </si>
  <si>
    <t>1974 April</t>
  </si>
  <si>
    <t>1974 May</t>
  </si>
  <si>
    <t>1974 June</t>
  </si>
  <si>
    <t>1974 July</t>
  </si>
  <si>
    <t>1974 August</t>
  </si>
  <si>
    <t>1974 September</t>
  </si>
  <si>
    <t>1974 October</t>
  </si>
  <si>
    <t>1974 November</t>
  </si>
  <si>
    <t>1974 December</t>
  </si>
  <si>
    <t>1975 January</t>
  </si>
  <si>
    <t>1975 February</t>
  </si>
  <si>
    <t>1975 March</t>
  </si>
  <si>
    <t>1975 April</t>
  </si>
  <si>
    <t>1975 May</t>
  </si>
  <si>
    <t>1975 June</t>
  </si>
  <si>
    <t>1975 July</t>
  </si>
  <si>
    <t>1975 August</t>
  </si>
  <si>
    <t>1975 September</t>
  </si>
  <si>
    <t>1975 October</t>
  </si>
  <si>
    <t>1975 November</t>
  </si>
  <si>
    <t>1975 December</t>
  </si>
  <si>
    <t>1976 January</t>
  </si>
  <si>
    <t>1976 February</t>
  </si>
  <si>
    <t>1976 March</t>
  </si>
  <si>
    <t>1976 April</t>
  </si>
  <si>
    <t>1976 May</t>
  </si>
  <si>
    <t>1976 June</t>
  </si>
  <si>
    <t>1976 July</t>
  </si>
  <si>
    <t>1976 August</t>
  </si>
  <si>
    <t>1976 September</t>
  </si>
  <si>
    <t>1976 October</t>
  </si>
  <si>
    <t>1976 November</t>
  </si>
  <si>
    <t>1976 December</t>
  </si>
  <si>
    <t>1977 January</t>
  </si>
  <si>
    <t>1977 February</t>
  </si>
  <si>
    <t>1977 March</t>
  </si>
  <si>
    <t>1977 April</t>
  </si>
  <si>
    <t>1977 May</t>
  </si>
  <si>
    <t>1977 June</t>
  </si>
  <si>
    <t>1977 July</t>
  </si>
  <si>
    <t>1977 August</t>
  </si>
  <si>
    <t>1977 September</t>
  </si>
  <si>
    <t>1977 October</t>
  </si>
  <si>
    <t>1977 November</t>
  </si>
  <si>
    <t>1977 December</t>
  </si>
  <si>
    <t>1978 January</t>
  </si>
  <si>
    <t>1978 February</t>
  </si>
  <si>
    <t>1978 March</t>
  </si>
  <si>
    <t>1978 April</t>
  </si>
  <si>
    <t>1978 May</t>
  </si>
  <si>
    <t>1978 June</t>
  </si>
  <si>
    <t>1978 July</t>
  </si>
  <si>
    <t>1978 August</t>
  </si>
  <si>
    <t>1978 September</t>
  </si>
  <si>
    <t>1978 October</t>
  </si>
  <si>
    <t>1978 November</t>
  </si>
  <si>
    <t>1978 December</t>
  </si>
  <si>
    <t>1979 January</t>
  </si>
  <si>
    <t>1979 February</t>
  </si>
  <si>
    <t>1979 March</t>
  </si>
  <si>
    <t>1979 April</t>
  </si>
  <si>
    <t>1979 May</t>
  </si>
  <si>
    <t>1979 June</t>
  </si>
  <si>
    <t>1979 July</t>
  </si>
  <si>
    <t>1979 August</t>
  </si>
  <si>
    <t>1979 September</t>
  </si>
  <si>
    <t>1979 October</t>
  </si>
  <si>
    <t>1979 November</t>
  </si>
  <si>
    <t>1979 December</t>
  </si>
  <si>
    <t>1980 January</t>
  </si>
  <si>
    <t>1980 February</t>
  </si>
  <si>
    <t>1980 March</t>
  </si>
  <si>
    <t>1980 April</t>
  </si>
  <si>
    <t>1980 May</t>
  </si>
  <si>
    <t>1980 June</t>
  </si>
  <si>
    <t>1980 July</t>
  </si>
  <si>
    <t>1980 August</t>
  </si>
  <si>
    <t>1980 September</t>
  </si>
  <si>
    <t>1980 October</t>
  </si>
  <si>
    <t>1980 November</t>
  </si>
  <si>
    <t>1980 December</t>
  </si>
  <si>
    <t>1981 January</t>
  </si>
  <si>
    <t>1981 February</t>
  </si>
  <si>
    <t>1981 March</t>
  </si>
  <si>
    <t>1981 April</t>
  </si>
  <si>
    <t>1981 May</t>
  </si>
  <si>
    <t>1981 June</t>
  </si>
  <si>
    <t>1981 July</t>
  </si>
  <si>
    <t>1981 August</t>
  </si>
  <si>
    <t>1981 September</t>
  </si>
  <si>
    <t>1981 October</t>
  </si>
  <si>
    <t>1981 November</t>
  </si>
  <si>
    <t>1981 December</t>
  </si>
  <si>
    <t>1982 January</t>
  </si>
  <si>
    <t>1982 February</t>
  </si>
  <si>
    <t>1982 March</t>
  </si>
  <si>
    <t>1982 April</t>
  </si>
  <si>
    <t>1982 May</t>
  </si>
  <si>
    <t>1982 June</t>
  </si>
  <si>
    <t>1982 July</t>
  </si>
  <si>
    <t>1982 August</t>
  </si>
  <si>
    <t>1982 September</t>
  </si>
  <si>
    <t>1982 October</t>
  </si>
  <si>
    <t>1982 November</t>
  </si>
  <si>
    <t>1982 December</t>
  </si>
  <si>
    <t>1983 January</t>
  </si>
  <si>
    <t>1983 February</t>
  </si>
  <si>
    <t>1983 March</t>
  </si>
  <si>
    <t>1983 April</t>
  </si>
  <si>
    <t>1983 May</t>
  </si>
  <si>
    <t>1983 June</t>
  </si>
  <si>
    <t>1983 July</t>
  </si>
  <si>
    <t>1983 August</t>
  </si>
  <si>
    <t>1983 September</t>
  </si>
  <si>
    <t>1983 October</t>
  </si>
  <si>
    <t>1983 November</t>
  </si>
  <si>
    <t>1983 December</t>
  </si>
  <si>
    <t>1984 January</t>
  </si>
  <si>
    <t>1984 February</t>
  </si>
  <si>
    <t>1984 March</t>
  </si>
  <si>
    <t>1984 April</t>
  </si>
  <si>
    <t>1984 May</t>
  </si>
  <si>
    <t>1984 June</t>
  </si>
  <si>
    <t>1984 July</t>
  </si>
  <si>
    <t>1984 August</t>
  </si>
  <si>
    <t>1984 September</t>
  </si>
  <si>
    <t>1984 October</t>
  </si>
  <si>
    <t>1984 November</t>
  </si>
  <si>
    <t>1984 December</t>
  </si>
  <si>
    <t>1985 January</t>
  </si>
  <si>
    <t>1985 February</t>
  </si>
  <si>
    <t>1985 March</t>
  </si>
  <si>
    <t>1985 April</t>
  </si>
  <si>
    <t>1985 May</t>
  </si>
  <si>
    <t>1985 June</t>
  </si>
  <si>
    <t>1985 July</t>
  </si>
  <si>
    <t>1985 August</t>
  </si>
  <si>
    <t>1985 September</t>
  </si>
  <si>
    <t>1985 October</t>
  </si>
  <si>
    <t>1985 November</t>
  </si>
  <si>
    <t>1985 December</t>
  </si>
  <si>
    <t>1986 January</t>
  </si>
  <si>
    <t>1986 February</t>
  </si>
  <si>
    <t>1986 March</t>
  </si>
  <si>
    <t>1986 April</t>
  </si>
  <si>
    <t>1986 May</t>
  </si>
  <si>
    <t>1986 June</t>
  </si>
  <si>
    <t>1986 July</t>
  </si>
  <si>
    <t>1986 August</t>
  </si>
  <si>
    <t>1986 September</t>
  </si>
  <si>
    <t>1986 October</t>
  </si>
  <si>
    <t>1986 November</t>
  </si>
  <si>
    <t>1986 December</t>
  </si>
  <si>
    <t>1987 January</t>
  </si>
  <si>
    <t>1987 February</t>
  </si>
  <si>
    <t>1987 March</t>
  </si>
  <si>
    <t>1987 April</t>
  </si>
  <si>
    <t>1987 May</t>
  </si>
  <si>
    <t>1987 June</t>
  </si>
  <si>
    <t>1987 July</t>
  </si>
  <si>
    <t>1987 August</t>
  </si>
  <si>
    <t>1987 September</t>
  </si>
  <si>
    <t>1987 October</t>
  </si>
  <si>
    <t>1987 November</t>
  </si>
  <si>
    <t>1987 December</t>
  </si>
  <si>
    <t>1988 January</t>
  </si>
  <si>
    <t>1988 February</t>
  </si>
  <si>
    <t>1988 March</t>
  </si>
  <si>
    <t>1988 April</t>
  </si>
  <si>
    <t>1988 May</t>
  </si>
  <si>
    <t>1988 June</t>
  </si>
  <si>
    <t>1988 July</t>
  </si>
  <si>
    <t>1988 August</t>
  </si>
  <si>
    <t>1988 September</t>
  </si>
  <si>
    <t>1988 October</t>
  </si>
  <si>
    <t>1988 November</t>
  </si>
  <si>
    <t>1988 December</t>
  </si>
  <si>
    <t>1989 January</t>
  </si>
  <si>
    <t>1989 February</t>
  </si>
  <si>
    <t>1989 March</t>
  </si>
  <si>
    <t>1989 April</t>
  </si>
  <si>
    <t>1989 May</t>
  </si>
  <si>
    <t>1989 June</t>
  </si>
  <si>
    <t>1989 July</t>
  </si>
  <si>
    <t>1989 August</t>
  </si>
  <si>
    <t>1989 September</t>
  </si>
  <si>
    <t>1989 October</t>
  </si>
  <si>
    <t>1989 November</t>
  </si>
  <si>
    <t>1989 December</t>
  </si>
  <si>
    <t>1990 January</t>
  </si>
  <si>
    <t>1990 February</t>
  </si>
  <si>
    <t>1990 March</t>
  </si>
  <si>
    <t>1990 April</t>
  </si>
  <si>
    <t>1990 May</t>
  </si>
  <si>
    <t>1990 June</t>
  </si>
  <si>
    <t>1990 July</t>
  </si>
  <si>
    <t>1990 August</t>
  </si>
  <si>
    <t>1990 September</t>
  </si>
  <si>
    <t>1990 October</t>
  </si>
  <si>
    <t>1990 November</t>
  </si>
  <si>
    <t>1990 December</t>
  </si>
  <si>
    <t>1991 January</t>
  </si>
  <si>
    <t>1991 February</t>
  </si>
  <si>
    <t>1991 March</t>
  </si>
  <si>
    <t>1991 April</t>
  </si>
  <si>
    <t>1991 May</t>
  </si>
  <si>
    <t>1991 June</t>
  </si>
  <si>
    <t>1991 July</t>
  </si>
  <si>
    <t>1991 August</t>
  </si>
  <si>
    <t>1991 September</t>
  </si>
  <si>
    <t>1991 October</t>
  </si>
  <si>
    <t>1991 November</t>
  </si>
  <si>
    <t>1991 December</t>
  </si>
  <si>
    <t>1992 January</t>
  </si>
  <si>
    <t>1992 February</t>
  </si>
  <si>
    <t>1992 March</t>
  </si>
  <si>
    <t>1992 April</t>
  </si>
  <si>
    <t>1992 May</t>
  </si>
  <si>
    <t>1992 June</t>
  </si>
  <si>
    <t>1992 July</t>
  </si>
  <si>
    <t>1992 August</t>
  </si>
  <si>
    <t>1992 September</t>
  </si>
  <si>
    <t>1992 October</t>
  </si>
  <si>
    <t>1992 November</t>
  </si>
  <si>
    <t>1992 December</t>
  </si>
  <si>
    <t>1993 January</t>
  </si>
  <si>
    <t>1993 February</t>
  </si>
  <si>
    <t>1993 March</t>
  </si>
  <si>
    <t>1993 April</t>
  </si>
  <si>
    <t>1993 May</t>
  </si>
  <si>
    <t>1993 June</t>
  </si>
  <si>
    <t>1993 July</t>
  </si>
  <si>
    <t>1993 August</t>
  </si>
  <si>
    <t>1993 September</t>
  </si>
  <si>
    <t>1993 October</t>
  </si>
  <si>
    <t>1993 November</t>
  </si>
  <si>
    <t>1993 December</t>
  </si>
  <si>
    <t>1994 January</t>
  </si>
  <si>
    <t>1994 February</t>
  </si>
  <si>
    <t>1994 March</t>
  </si>
  <si>
    <t>1994 April</t>
  </si>
  <si>
    <t>1994 May</t>
  </si>
  <si>
    <t>1994 June</t>
  </si>
  <si>
    <t>1994 July</t>
  </si>
  <si>
    <t>1994 August</t>
  </si>
  <si>
    <t>1994 September</t>
  </si>
  <si>
    <t>1994 October</t>
  </si>
  <si>
    <t>1994 November</t>
  </si>
  <si>
    <t>1994 December</t>
  </si>
  <si>
    <t>1995 January</t>
  </si>
  <si>
    <t>1995 February</t>
  </si>
  <si>
    <t>1995 March</t>
  </si>
  <si>
    <t>1995 April</t>
  </si>
  <si>
    <t>1995 May</t>
  </si>
  <si>
    <t>1995 June</t>
  </si>
  <si>
    <t>1995 July</t>
  </si>
  <si>
    <t>1995 August</t>
  </si>
  <si>
    <t>1995 September</t>
  </si>
  <si>
    <t>1995 October</t>
  </si>
  <si>
    <t>1995 November</t>
  </si>
  <si>
    <t>1995 December</t>
  </si>
  <si>
    <t>1996 January</t>
  </si>
  <si>
    <t>1996 February</t>
  </si>
  <si>
    <t>1996 March</t>
  </si>
  <si>
    <t>1996 April</t>
  </si>
  <si>
    <t>1996 May</t>
  </si>
  <si>
    <t>1996 June</t>
  </si>
  <si>
    <t>1996 July</t>
  </si>
  <si>
    <t>1996 August</t>
  </si>
  <si>
    <t>1996 September</t>
  </si>
  <si>
    <t>1996 October</t>
  </si>
  <si>
    <t>1996 November</t>
  </si>
  <si>
    <t>1996 December</t>
  </si>
  <si>
    <t>1997 January</t>
  </si>
  <si>
    <t>1997 February</t>
  </si>
  <si>
    <t>1997 March</t>
  </si>
  <si>
    <t>1997 April</t>
  </si>
  <si>
    <t>1997 May</t>
  </si>
  <si>
    <t>1997 June</t>
  </si>
  <si>
    <t>1997 July</t>
  </si>
  <si>
    <t>1997 August</t>
  </si>
  <si>
    <t>1997 September</t>
  </si>
  <si>
    <t>1997 October</t>
  </si>
  <si>
    <t>1997 November</t>
  </si>
  <si>
    <t>1997 December</t>
  </si>
  <si>
    <t>1998 January</t>
  </si>
  <si>
    <t>1998 February</t>
  </si>
  <si>
    <t>1998 March</t>
  </si>
  <si>
    <t>1998 April</t>
  </si>
  <si>
    <t>1998 May</t>
  </si>
  <si>
    <t>1998 June</t>
  </si>
  <si>
    <t>1998 July</t>
  </si>
  <si>
    <t>1998 August</t>
  </si>
  <si>
    <t>1998 September</t>
  </si>
  <si>
    <t>1998 October</t>
  </si>
  <si>
    <t>1998 November</t>
  </si>
  <si>
    <t>1998 December</t>
  </si>
  <si>
    <t>1999 January</t>
  </si>
  <si>
    <t>1999 February</t>
  </si>
  <si>
    <t>1999 March</t>
  </si>
  <si>
    <t>1999 April</t>
  </si>
  <si>
    <t>1999 May</t>
  </si>
  <si>
    <t>1999 June</t>
  </si>
  <si>
    <t>1999 July</t>
  </si>
  <si>
    <t>1999 August</t>
  </si>
  <si>
    <t>1999 September</t>
  </si>
  <si>
    <t>1999 October</t>
  </si>
  <si>
    <t>1999 November</t>
  </si>
  <si>
    <t>1999 December</t>
  </si>
  <si>
    <t>2000 January</t>
  </si>
  <si>
    <t>2000 February</t>
  </si>
  <si>
    <t>2000 March</t>
  </si>
  <si>
    <t>2000 April</t>
  </si>
  <si>
    <t>2000 May</t>
  </si>
  <si>
    <t>2000 June</t>
  </si>
  <si>
    <t>2000 July</t>
  </si>
  <si>
    <t>2000 August</t>
  </si>
  <si>
    <t>2000 September</t>
  </si>
  <si>
    <t>2000 October</t>
  </si>
  <si>
    <t>2000 November</t>
  </si>
  <si>
    <t>2000 December</t>
  </si>
  <si>
    <t>2001 January</t>
  </si>
  <si>
    <t>2001 February</t>
  </si>
  <si>
    <t>2001 March</t>
  </si>
  <si>
    <t>2001 April</t>
  </si>
  <si>
    <t>2001 May</t>
  </si>
  <si>
    <t>2001 June</t>
  </si>
  <si>
    <t>2001 July</t>
  </si>
  <si>
    <t>2001 August</t>
  </si>
  <si>
    <t>2001 September</t>
  </si>
  <si>
    <t>2001 October</t>
  </si>
  <si>
    <t>2001 November</t>
  </si>
  <si>
    <t>2001 December</t>
  </si>
  <si>
    <t>2002 January</t>
  </si>
  <si>
    <t>2002 February</t>
  </si>
  <si>
    <t>2002 March</t>
  </si>
  <si>
    <t>2002 April</t>
  </si>
  <si>
    <t>2002 May</t>
  </si>
  <si>
    <t>2002 June</t>
  </si>
  <si>
    <t>2002 July</t>
  </si>
  <si>
    <t>2002 August</t>
  </si>
  <si>
    <t>2002 September</t>
  </si>
  <si>
    <t>2002 October</t>
  </si>
  <si>
    <t>2002 November</t>
  </si>
  <si>
    <t>2002 December</t>
  </si>
  <si>
    <t>2003 January</t>
  </si>
  <si>
    <t>2003 February</t>
  </si>
  <si>
    <t>2003 March</t>
  </si>
  <si>
    <t>2003 April</t>
  </si>
  <si>
    <t>2003 May</t>
  </si>
  <si>
    <t>2003 June</t>
  </si>
  <si>
    <t>2003 July</t>
  </si>
  <si>
    <t>2003 August</t>
  </si>
  <si>
    <t>2003 September</t>
  </si>
  <si>
    <t>2003 October</t>
  </si>
  <si>
    <t>2003 November</t>
  </si>
  <si>
    <t>2003 December</t>
  </si>
  <si>
    <t>2004 January</t>
  </si>
  <si>
    <t>2004 February</t>
  </si>
  <si>
    <t>2004 March</t>
  </si>
  <si>
    <t>2004 April</t>
  </si>
  <si>
    <t>2004 May</t>
  </si>
  <si>
    <t>2004 June</t>
  </si>
  <si>
    <t>2004 July</t>
  </si>
  <si>
    <t>2004 August</t>
  </si>
  <si>
    <t>2004 September</t>
  </si>
  <si>
    <t>2004 October</t>
  </si>
  <si>
    <t>2004 November</t>
  </si>
  <si>
    <t>2004 December</t>
  </si>
  <si>
    <t>2005 January</t>
  </si>
  <si>
    <t>2005 February</t>
  </si>
  <si>
    <t>2005 March</t>
  </si>
  <si>
    <t>2005 April</t>
  </si>
  <si>
    <t>2005 May</t>
  </si>
  <si>
    <t>2005 June</t>
  </si>
  <si>
    <t>2005 July</t>
  </si>
  <si>
    <t>2005 August</t>
  </si>
  <si>
    <t>2005 September</t>
  </si>
  <si>
    <t>2005 October</t>
  </si>
  <si>
    <t>2005 November</t>
  </si>
  <si>
    <t>2005 December</t>
  </si>
  <si>
    <t>2006 January</t>
  </si>
  <si>
    <t>2006 February</t>
  </si>
  <si>
    <t>2006 March</t>
  </si>
  <si>
    <t>2006 April</t>
  </si>
  <si>
    <t>2006 May</t>
  </si>
  <si>
    <t>2006 June</t>
  </si>
  <si>
    <t>2006 July</t>
  </si>
  <si>
    <t>2006 August</t>
  </si>
  <si>
    <t>2006 September</t>
  </si>
  <si>
    <t>2006 October</t>
  </si>
  <si>
    <t>2006 November</t>
  </si>
  <si>
    <t>2006 December</t>
  </si>
  <si>
    <t>2007 January</t>
  </si>
  <si>
    <t>2007 February</t>
  </si>
  <si>
    <t>2007 March</t>
  </si>
  <si>
    <t>2007 April</t>
  </si>
  <si>
    <t>2007 May</t>
  </si>
  <si>
    <t>2007 June</t>
  </si>
  <si>
    <t>2007 July</t>
  </si>
  <si>
    <t>2007 August</t>
  </si>
  <si>
    <t>2007 September</t>
  </si>
  <si>
    <t>2007 October</t>
  </si>
  <si>
    <t>2007 November</t>
  </si>
  <si>
    <t>2007 December</t>
  </si>
  <si>
    <t>2008 January</t>
  </si>
  <si>
    <t>2008 February</t>
  </si>
  <si>
    <t>2008 March</t>
  </si>
  <si>
    <t>2008 April</t>
  </si>
  <si>
    <t>2008 May</t>
  </si>
  <si>
    <t>2008 June</t>
  </si>
  <si>
    <t>2008 July</t>
  </si>
  <si>
    <t>2008 August</t>
  </si>
  <si>
    <t>2008 September</t>
  </si>
  <si>
    <t>2008 October</t>
  </si>
  <si>
    <t>2008 November</t>
  </si>
  <si>
    <t>2008 December</t>
  </si>
  <si>
    <t>2009 January</t>
  </si>
  <si>
    <t>2009 February</t>
  </si>
  <si>
    <t>2009 March</t>
  </si>
  <si>
    <t>2009 April</t>
  </si>
  <si>
    <t>2009 May</t>
  </si>
  <si>
    <t>2009 June</t>
  </si>
  <si>
    <t>2009 July</t>
  </si>
  <si>
    <t>2009 August</t>
  </si>
  <si>
    <t>2009 September</t>
  </si>
  <si>
    <t>2009 October</t>
  </si>
  <si>
    <t>2009 November</t>
  </si>
  <si>
    <t>2009 December</t>
  </si>
  <si>
    <t>2010 January</t>
  </si>
  <si>
    <t>2010 February</t>
  </si>
  <si>
    <t>2010 March</t>
  </si>
  <si>
    <t>2010 April</t>
  </si>
  <si>
    <t>2010 May</t>
  </si>
  <si>
    <t>2010 June</t>
  </si>
  <si>
    <t>2010 July</t>
  </si>
  <si>
    <t>2010 August</t>
  </si>
  <si>
    <t>2010 September</t>
  </si>
  <si>
    <t>2010 October</t>
  </si>
  <si>
    <t>2010 November</t>
  </si>
  <si>
    <t>2010 December</t>
  </si>
  <si>
    <t>2011 January</t>
  </si>
  <si>
    <t>2011 February</t>
  </si>
  <si>
    <t>2011 March</t>
  </si>
  <si>
    <t>2011 April</t>
  </si>
  <si>
    <t>2011 May</t>
  </si>
  <si>
    <t>2011 June</t>
  </si>
  <si>
    <t>2011 July</t>
  </si>
  <si>
    <t>2011 August</t>
  </si>
  <si>
    <t>2011 September</t>
  </si>
  <si>
    <t>2011 October</t>
  </si>
  <si>
    <t>2011 November</t>
  </si>
  <si>
    <t>2011 December</t>
  </si>
  <si>
    <t>2012 January</t>
  </si>
  <si>
    <t>2012 February</t>
  </si>
  <si>
    <t>2012 March</t>
  </si>
  <si>
    <t>2012 April</t>
  </si>
  <si>
    <t>2012 May</t>
  </si>
  <si>
    <t>2012 June</t>
  </si>
  <si>
    <t>2012 July</t>
  </si>
  <si>
    <t>2012 August</t>
  </si>
  <si>
    <t>2012 September</t>
  </si>
  <si>
    <t>2012 October</t>
  </si>
  <si>
    <t>2012 November</t>
  </si>
  <si>
    <t>2012 December</t>
  </si>
  <si>
    <t>2013 January</t>
  </si>
  <si>
    <t>2013 February</t>
  </si>
  <si>
    <t>2013 March</t>
  </si>
  <si>
    <t>2013 April</t>
  </si>
  <si>
    <t>2013 May</t>
  </si>
  <si>
    <t>2013 June</t>
  </si>
  <si>
    <t>2013 July</t>
  </si>
  <si>
    <t>2013 August</t>
  </si>
  <si>
    <t>2013 September</t>
  </si>
  <si>
    <t>2013 October</t>
  </si>
  <si>
    <t>2013 November</t>
  </si>
  <si>
    <t>2013 December</t>
  </si>
  <si>
    <t>2014 January</t>
  </si>
  <si>
    <t>2014 February</t>
  </si>
  <si>
    <t>2014 March</t>
  </si>
  <si>
    <t>2014 April</t>
  </si>
  <si>
    <t>2014 May</t>
  </si>
  <si>
    <t>2014 June</t>
  </si>
  <si>
    <t>2014 July</t>
  </si>
  <si>
    <t>2014 August</t>
  </si>
  <si>
    <t>2014 September</t>
  </si>
  <si>
    <t>2014 October</t>
  </si>
  <si>
    <t>2014 November</t>
  </si>
  <si>
    <t>2014 December</t>
  </si>
  <si>
    <t>2015 January</t>
  </si>
  <si>
    <t>2015 February</t>
  </si>
  <si>
    <t>2015 March</t>
  </si>
  <si>
    <t>2015 April</t>
  </si>
  <si>
    <t>2015 May</t>
  </si>
  <si>
    <t>2015 June</t>
  </si>
  <si>
    <t>2015 July</t>
  </si>
  <si>
    <t>2015 August</t>
  </si>
  <si>
    <t>2015 September</t>
  </si>
  <si>
    <t>2015 October</t>
  </si>
  <si>
    <t>2015 November</t>
  </si>
  <si>
    <t>2015 December</t>
  </si>
  <si>
    <t>2016 January</t>
  </si>
  <si>
    <t>2016 February</t>
  </si>
  <si>
    <t>2016 March</t>
  </si>
  <si>
    <t>2016 April</t>
  </si>
  <si>
    <t>2016 May</t>
  </si>
  <si>
    <t>2016 June</t>
  </si>
  <si>
    <t>2016 July</t>
  </si>
  <si>
    <t>2016 August</t>
  </si>
  <si>
    <t>2016 September</t>
  </si>
  <si>
    <t>2016 October</t>
  </si>
  <si>
    <t>2016 November</t>
  </si>
  <si>
    <t>2016 December</t>
  </si>
  <si>
    <t>2017 January</t>
  </si>
  <si>
    <t>2017 February</t>
  </si>
  <si>
    <t>2017 March</t>
  </si>
  <si>
    <t>2017 April</t>
  </si>
  <si>
    <t>2017 May</t>
  </si>
  <si>
    <t>2017 June</t>
  </si>
  <si>
    <t>2017 July</t>
  </si>
  <si>
    <t>2017 August</t>
  </si>
  <si>
    <t>2017 September</t>
  </si>
  <si>
    <t>2017 October</t>
  </si>
  <si>
    <t>2017 November</t>
  </si>
  <si>
    <t>2017 December</t>
  </si>
  <si>
    <t>2018 January</t>
  </si>
  <si>
    <t>2018 February</t>
  </si>
  <si>
    <t>2018 March</t>
  </si>
  <si>
    <t>2018 April</t>
  </si>
  <si>
    <t>2018 May</t>
  </si>
  <si>
    <t>2018 June</t>
  </si>
  <si>
    <t>2018 July</t>
  </si>
  <si>
    <t>2018 August</t>
  </si>
  <si>
    <t>2018 September</t>
  </si>
  <si>
    <t>2018 October</t>
  </si>
  <si>
    <t>2018 November</t>
  </si>
  <si>
    <t>2018 December</t>
  </si>
  <si>
    <t>2019 January</t>
  </si>
  <si>
    <t>2019 February</t>
  </si>
  <si>
    <t>2019 March</t>
  </si>
  <si>
    <t>2019 April</t>
  </si>
  <si>
    <t>2019 May</t>
  </si>
  <si>
    <t>2019 June</t>
  </si>
  <si>
    <t>2019 July</t>
  </si>
  <si>
    <t>2019 August</t>
  </si>
  <si>
    <t>2019 September</t>
  </si>
  <si>
    <t>2019 October</t>
  </si>
  <si>
    <t>2019 November</t>
  </si>
  <si>
    <t>2019 December</t>
  </si>
  <si>
    <t>2020 January</t>
  </si>
  <si>
    <t>2020 February</t>
  </si>
  <si>
    <t>2020 March</t>
  </si>
  <si>
    <t>2020 April</t>
  </si>
  <si>
    <t>2020 May</t>
  </si>
  <si>
    <t>2020 June</t>
  </si>
  <si>
    <t>2020 July</t>
  </si>
  <si>
    <t>2020 August</t>
  </si>
  <si>
    <t>2020 September</t>
  </si>
  <si>
    <t>2020 October</t>
  </si>
  <si>
    <t>2020 November</t>
  </si>
  <si>
    <t>2020 December</t>
  </si>
  <si>
    <t>2021 January</t>
  </si>
  <si>
    <t>2021 February</t>
  </si>
  <si>
    <t>2021 March</t>
  </si>
  <si>
    <t>2021 April</t>
  </si>
  <si>
    <t>2021 May</t>
  </si>
  <si>
    <t>2021 June</t>
  </si>
  <si>
    <t>2021 July</t>
  </si>
  <si>
    <t>2021 August</t>
  </si>
  <si>
    <t>2021 September</t>
  </si>
  <si>
    <t>2021 October</t>
  </si>
  <si>
    <t>2021 November</t>
  </si>
  <si>
    <t>2021 December</t>
  </si>
  <si>
    <t>2022 January</t>
  </si>
  <si>
    <t>2022 February</t>
  </si>
  <si>
    <t>2022 March</t>
  </si>
  <si>
    <t>2022 April</t>
  </si>
  <si>
    <t>2022 May</t>
  </si>
  <si>
    <t>2022 June</t>
  </si>
  <si>
    <t>2022 July</t>
  </si>
  <si>
    <t>2022 August</t>
  </si>
  <si>
    <t>2022 September</t>
  </si>
  <si>
    <t>2022 October</t>
  </si>
  <si>
    <t>2022 November</t>
  </si>
  <si>
    <t>2022 December</t>
  </si>
  <si>
    <t>2023 January</t>
  </si>
  <si>
    <t>2023 February</t>
  </si>
  <si>
    <t>2023 March</t>
  </si>
  <si>
    <t>2023 April</t>
  </si>
  <si>
    <t>2023 May</t>
  </si>
  <si>
    <t>2023 June</t>
  </si>
  <si>
    <t>2023 July</t>
  </si>
  <si>
    <t>2023 August</t>
  </si>
  <si>
    <t>2023 September</t>
  </si>
  <si>
    <t>2023 October</t>
  </si>
  <si>
    <t>2023 November</t>
  </si>
  <si>
    <t>2023 December</t>
  </si>
  <si>
    <t>2024 January</t>
  </si>
  <si>
    <t>2024 February</t>
  </si>
  <si>
    <t>2024 March</t>
  </si>
  <si>
    <t>2024 April</t>
  </si>
  <si>
    <t>2024 May</t>
  </si>
  <si>
    <t>2024 June</t>
  </si>
  <si>
    <t>2024 July</t>
  </si>
  <si>
    <t>2024 August</t>
  </si>
  <si>
    <t>2024 September</t>
  </si>
  <si>
    <t>2024 October</t>
  </si>
  <si>
    <t>2024 November</t>
  </si>
  <si>
    <t>2024 December</t>
  </si>
  <si>
    <t>2025 January</t>
  </si>
  <si>
    <t>2025 February</t>
  </si>
  <si>
    <t>2025 March</t>
  </si>
  <si>
    <t>2025 April</t>
  </si>
  <si>
    <t>2025 May</t>
  </si>
  <si>
    <t>2025 June</t>
  </si>
  <si>
    <t>2025 July</t>
  </si>
  <si>
    <t>2025 August</t>
  </si>
  <si>
    <t>2025 September</t>
  </si>
  <si>
    <t>2025 October</t>
  </si>
  <si>
    <t>2025 November</t>
  </si>
  <si>
    <t>2025 December</t>
  </si>
  <si>
    <t>Annual Total</t>
  </si>
  <si>
    <t>Clean Date</t>
  </si>
  <si>
    <t>Timeline</t>
  </si>
  <si>
    <t>Values</t>
  </si>
  <si>
    <t>Forecast</t>
  </si>
  <si>
    <t>Lower Confidence Bound</t>
  </si>
  <si>
    <t>Upper Confidence Bound</t>
  </si>
  <si>
    <t>Coal Decline =</t>
  </si>
  <si>
    <t xml:space="preserve">Renewables increase = </t>
  </si>
  <si>
    <t xml:space="preserve">CAGR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</si>
</sst>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0"/>
      <name val="Calibri"/>
      <family val="2"/>
    </font>
    <font>
      <sz val="11"/>
      <name val="Calibri"/>
      <family val="2"/>
    </font>
    <font>
      <sz val="11"/>
      <color theme="1"/>
      <name val="Calibri"/>
      <family val="2"/>
      <scheme val="minor"/>
    </font>
    <font>
      <b/>
      <sz val="14"/>
      <name val="Calibri"/>
    </font>
    <font>
      <i/>
      <sz val="14"/>
      <name val="Calibri"/>
    </font>
    <font>
      <b/>
      <sz val="12"/>
      <name val="Calibri"/>
    </font>
  </fonts>
  <fills count="2">
    <fill>
      <patternFill patternType="none"/>
    </fill>
    <fill>
      <patternFill patternType="gray125"/>
    </fill>
  </fills>
  <borders count="1">
    <border>
      <left/>
      <right/>
      <top/>
      <bottom/>
      <diagonal/>
    </border>
  </borders>
  <cellStyleXfs count="2">
    <xf numFmtId="0" fontId="0" fillId="0" borderId="0"/>
    <xf numFmtId="9" fontId="3" fillId="0" borderId="0" applyFont="0" applyFill="0" applyBorder="0" applyAlignment="0" applyProtection="0"/>
  </cellStyleXfs>
  <cellXfs count="16">
    <xf numFmtId="0" fontId="0" fillId="0" borderId="0" xfId="0"/>
    <xf numFmtId="0" fontId="1" fillId="0" borderId="0" xfId="0" applyFont="1"/>
    <xf numFmtId="0" fontId="2" fillId="0" borderId="0" xfId="0" applyFont="1"/>
    <xf numFmtId="14" fontId="2" fillId="0" borderId="0" xfId="0" applyNumberFormat="1" applyFont="1"/>
    <xf numFmtId="14" fontId="0" fillId="0" borderId="0" xfId="0" applyNumberFormat="1"/>
    <xf numFmtId="14" fontId="1" fillId="0" borderId="0" xfId="0" applyNumberFormat="1" applyFont="1"/>
    <xf numFmtId="2" fontId="0" fillId="0" borderId="0" xfId="0" applyNumberFormat="1"/>
    <xf numFmtId="9" fontId="0" fillId="0" borderId="0" xfId="1" applyFont="1"/>
    <xf numFmtId="0" fontId="0" fillId="0" borderId="0" xfId="0"/>
    <xf numFmtId="0" fontId="4" fillId="0" borderId="0" xfId="0" applyFont="1"/>
    <xf numFmtId="0" fontId="5" fillId="0" borderId="0" xfId="0" applyFont="1"/>
    <xf numFmtId="0" fontId="6" fillId="0" borderId="0" xfId="0" applyFont="1"/>
    <xf numFmtId="0" fontId="0" fillId="0" borderId="0" xfId="0"/>
    <xf numFmtId="0" fontId="4" fillId="0" borderId="0" xfId="0" applyFont="1"/>
    <xf numFmtId="0" fontId="5" fillId="0" borderId="0" xfId="0" applyFont="1"/>
    <xf numFmtId="0" fontId="6" fillId="0" borderId="0" xfId="0" applyFont="1"/>
  </cellXfs>
  <cellStyles count="2">
    <cellStyle name="Normal" xfId="0" builtinId="0"/>
    <cellStyle name="Percent" xfId="1" builtinId="5"/>
  </cellStyles>
  <dxfs count="3">
    <dxf>
      <numFmt numFmtId="2" formatCode="0.00"/>
    </dxf>
    <dxf>
      <numFmt numFmtId="2" formatCode="0.00"/>
    </dxf>
    <dxf>
      <numFmt numFmtId="19" formatCode="m/d/yyyy"/>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Energy_Transition_Analysis!$B$1</c:f>
              <c:strCache>
                <c:ptCount val="1"/>
                <c:pt idx="0">
                  <c:v>Values</c:v>
                </c:pt>
              </c:strCache>
            </c:strRef>
          </c:tx>
          <c:spPr>
            <a:ln w="28575" cap="rnd">
              <a:solidFill>
                <a:schemeClr val="accent1"/>
              </a:solidFill>
              <a:round/>
            </a:ln>
            <a:effectLst/>
          </c:spPr>
          <c:marker>
            <c:symbol val="none"/>
          </c:marker>
          <c:val>
            <c:numRef>
              <c:f>Energy_Transition_Analysis!$B$2:$B$748</c:f>
              <c:numCache>
                <c:formatCode>General</c:formatCode>
                <c:ptCount val="1"/>
                <c:pt idx="0">
                  <c:v>0.74988100000000002</c:v>
                </c:pt>
              </c:numCache>
            </c:numRef>
          </c:val>
          <c:smooth val="0"/>
          <c:extLst>
            <c:ext xmlns:c16="http://schemas.microsoft.com/office/drawing/2014/chart" uri="{C3380CC4-5D6E-409C-BE32-E72D297353CC}">
              <c16:uniqueId val="{00000000-7172-40BA-B96F-BC7C073CBE7B}"/>
            </c:ext>
          </c:extLst>
        </c:ser>
        <c:ser>
          <c:idx val="1"/>
          <c:order val="1"/>
          <c:tx>
            <c:strRef>
              <c:f>Energy_Transition_Analysis!$C$1</c:f>
              <c:strCache>
                <c:ptCount val="1"/>
                <c:pt idx="0">
                  <c:v>Forecast</c:v>
                </c:pt>
              </c:strCache>
            </c:strRef>
          </c:tx>
          <c:spPr>
            <a:ln w="25400" cap="rnd">
              <a:solidFill>
                <a:schemeClr val="accent2"/>
              </a:solidFill>
              <a:round/>
            </a:ln>
            <a:effectLst/>
          </c:spPr>
          <c:marker>
            <c:symbol val="none"/>
          </c:marker>
          <c:cat>
            <c:numRef>
              <c:f>Energy_Transition_Analysis!$A$2:$A$748</c:f>
              <c:numCache>
                <c:formatCode>m/d/yyyy</c:formatCode>
                <c:ptCount val="1"/>
                <c:pt idx="0">
                  <c:v>45992</c:v>
                </c:pt>
              </c:numCache>
            </c:numRef>
          </c:cat>
          <c:val>
            <c:numRef>
              <c:f>Energy_Transition_Analysis!$C$2:$C$748</c:f>
              <c:numCache>
                <c:formatCode>General</c:formatCode>
                <c:ptCount val="1"/>
                <c:pt idx="0">
                  <c:v>0.74988100000000002</c:v>
                </c:pt>
              </c:numCache>
            </c:numRef>
          </c:val>
          <c:smooth val="0"/>
          <c:extLst>
            <c:ext xmlns:c16="http://schemas.microsoft.com/office/drawing/2014/chart" uri="{C3380CC4-5D6E-409C-BE32-E72D297353CC}">
              <c16:uniqueId val="{00000001-7172-40BA-B96F-BC7C073CBE7B}"/>
            </c:ext>
          </c:extLst>
        </c:ser>
        <c:ser>
          <c:idx val="2"/>
          <c:order val="2"/>
          <c:tx>
            <c:strRef>
              <c:f>Energy_Transition_Analysis!$D$1</c:f>
              <c:strCache>
                <c:ptCount val="1"/>
                <c:pt idx="0">
                  <c:v>Lower Confidence Bound</c:v>
                </c:pt>
              </c:strCache>
            </c:strRef>
          </c:tx>
          <c:spPr>
            <a:ln w="12700" cap="rnd">
              <a:solidFill>
                <a:srgbClr val="C0504D"/>
              </a:solidFill>
              <a:prstDash val="solid"/>
              <a:round/>
            </a:ln>
            <a:effectLst/>
          </c:spPr>
          <c:marker>
            <c:symbol val="none"/>
          </c:marker>
          <c:cat>
            <c:numRef>
              <c:f>Energy_Transition_Analysis!$A$2:$A$748</c:f>
              <c:numCache>
                <c:formatCode>m/d/yyyy</c:formatCode>
                <c:ptCount val="1"/>
                <c:pt idx="0">
                  <c:v>45992</c:v>
                </c:pt>
              </c:numCache>
            </c:numRef>
          </c:cat>
          <c:val>
            <c:numRef>
              <c:f>Energy_Transition_Analysis!$D$2:$D$748</c:f>
              <c:numCache>
                <c:formatCode>0.00</c:formatCode>
                <c:ptCount val="1"/>
                <c:pt idx="0">
                  <c:v>0.74988100000000002</c:v>
                </c:pt>
              </c:numCache>
            </c:numRef>
          </c:val>
          <c:smooth val="0"/>
          <c:extLst>
            <c:ext xmlns:c16="http://schemas.microsoft.com/office/drawing/2014/chart" uri="{C3380CC4-5D6E-409C-BE32-E72D297353CC}">
              <c16:uniqueId val="{00000002-7172-40BA-B96F-BC7C073CBE7B}"/>
            </c:ext>
          </c:extLst>
        </c:ser>
        <c:ser>
          <c:idx val="3"/>
          <c:order val="3"/>
          <c:tx>
            <c:strRef>
              <c:f>Energy_Transition_Analysis!$E$1</c:f>
              <c:strCache>
                <c:ptCount val="1"/>
                <c:pt idx="0">
                  <c:v>Upper Confidence Bound</c:v>
                </c:pt>
              </c:strCache>
            </c:strRef>
          </c:tx>
          <c:spPr>
            <a:ln w="12700" cap="rnd">
              <a:solidFill>
                <a:srgbClr val="C0504D"/>
              </a:solidFill>
              <a:prstDash val="solid"/>
              <a:round/>
            </a:ln>
            <a:effectLst/>
          </c:spPr>
          <c:marker>
            <c:symbol val="none"/>
          </c:marker>
          <c:cat>
            <c:numRef>
              <c:f>Energy_Transition_Analysis!$A$2:$A$748</c:f>
              <c:numCache>
                <c:formatCode>m/d/yyyy</c:formatCode>
                <c:ptCount val="1"/>
                <c:pt idx="0">
                  <c:v>45992</c:v>
                </c:pt>
              </c:numCache>
            </c:numRef>
          </c:cat>
          <c:val>
            <c:numRef>
              <c:f>Energy_Transition_Analysis!$E$2:$E$748</c:f>
              <c:numCache>
                <c:formatCode>0.00</c:formatCode>
                <c:ptCount val="1"/>
                <c:pt idx="0">
                  <c:v>0.74988100000000002</c:v>
                </c:pt>
              </c:numCache>
            </c:numRef>
          </c:val>
          <c:smooth val="0"/>
          <c:extLst>
            <c:ext xmlns:c16="http://schemas.microsoft.com/office/drawing/2014/chart" uri="{C3380CC4-5D6E-409C-BE32-E72D297353CC}">
              <c16:uniqueId val="{00000003-7172-40BA-B96F-BC7C073CBE7B}"/>
            </c:ext>
          </c:extLst>
        </c:ser>
        <c:dLbls>
          <c:showLegendKey val="0"/>
          <c:showVal val="0"/>
          <c:showCatName val="0"/>
          <c:showSerName val="0"/>
          <c:showPercent val="0"/>
          <c:showBubbleSize val="0"/>
        </c:dLbls>
        <c:smooth val="0"/>
        <c:axId val="245940000"/>
        <c:axId val="245934592"/>
      </c:lineChart>
      <c:catAx>
        <c:axId val="245940000"/>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5934592"/>
        <c:crosses val="autoZero"/>
        <c:auto val="1"/>
        <c:lblAlgn val="ctr"/>
        <c:lblOffset val="100"/>
        <c:noMultiLvlLbl val="0"/>
      </c:catAx>
      <c:valAx>
        <c:axId val="245934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59400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Monthly Crossover Analysis</a:t>
            </a:r>
          </a:p>
          <a:p>
            <a:pPr>
              <a:defRPr/>
            </a:pPr>
            <a:r>
              <a:rPr lang="en-US"/>
              <a:t>1973-2025</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lineChart>
        <c:grouping val="standard"/>
        <c:varyColors val="0"/>
        <c:ser>
          <c:idx val="0"/>
          <c:order val="0"/>
          <c:tx>
            <c:strRef>
              <c:f>'Monthly Data'!$C$1:$C$10</c:f>
              <c:strCache>
                <c:ptCount val="10"/>
                <c:pt idx="8">
                  <c:v>Coal Consumption</c:v>
                </c:pt>
                <c:pt idx="9">
                  <c:v>(Quadrillion Btu)</c:v>
                </c:pt>
              </c:strCache>
            </c:strRef>
          </c:tx>
          <c:spPr>
            <a:ln w="22225" cap="rnd">
              <a:solidFill>
                <a:schemeClr val="accent1"/>
              </a:solidFill>
            </a:ln>
            <a:effectLst>
              <a:glow rad="139700">
                <a:schemeClr val="accent1">
                  <a:satMod val="175000"/>
                  <a:alpha val="14000"/>
                </a:schemeClr>
              </a:glow>
            </a:effectLst>
          </c:spPr>
          <c:marker>
            <c:symbol val="none"/>
          </c:marker>
          <c:cat>
            <c:numRef>
              <c:f>'Monthly Data'!$B$11:$B$647</c:f>
              <c:numCache>
                <c:formatCode>m/d/yyyy</c:formatCode>
                <c:ptCount val="637"/>
                <c:pt idx="1">
                  <c:v>26665</c:v>
                </c:pt>
                <c:pt idx="2">
                  <c:v>26696</c:v>
                </c:pt>
                <c:pt idx="3">
                  <c:v>26724</c:v>
                </c:pt>
                <c:pt idx="4">
                  <c:v>26755</c:v>
                </c:pt>
                <c:pt idx="5">
                  <c:v>26785</c:v>
                </c:pt>
                <c:pt idx="6">
                  <c:v>26816</c:v>
                </c:pt>
                <c:pt idx="7">
                  <c:v>26846</c:v>
                </c:pt>
                <c:pt idx="8">
                  <c:v>26877</c:v>
                </c:pt>
                <c:pt idx="9">
                  <c:v>26908</c:v>
                </c:pt>
                <c:pt idx="10">
                  <c:v>26938</c:v>
                </c:pt>
                <c:pt idx="11">
                  <c:v>26969</c:v>
                </c:pt>
                <c:pt idx="12">
                  <c:v>26999</c:v>
                </c:pt>
                <c:pt idx="13">
                  <c:v>27030</c:v>
                </c:pt>
                <c:pt idx="14">
                  <c:v>27061</c:v>
                </c:pt>
                <c:pt idx="15">
                  <c:v>27089</c:v>
                </c:pt>
                <c:pt idx="16">
                  <c:v>27120</c:v>
                </c:pt>
                <c:pt idx="17">
                  <c:v>27150</c:v>
                </c:pt>
                <c:pt idx="18">
                  <c:v>27181</c:v>
                </c:pt>
                <c:pt idx="19">
                  <c:v>27211</c:v>
                </c:pt>
                <c:pt idx="20">
                  <c:v>27242</c:v>
                </c:pt>
                <c:pt idx="21">
                  <c:v>27273</c:v>
                </c:pt>
                <c:pt idx="22">
                  <c:v>27303</c:v>
                </c:pt>
                <c:pt idx="23">
                  <c:v>27334</c:v>
                </c:pt>
                <c:pt idx="24">
                  <c:v>27364</c:v>
                </c:pt>
                <c:pt idx="25">
                  <c:v>27395</c:v>
                </c:pt>
                <c:pt idx="26">
                  <c:v>27426</c:v>
                </c:pt>
                <c:pt idx="27">
                  <c:v>27454</c:v>
                </c:pt>
                <c:pt idx="28">
                  <c:v>27485</c:v>
                </c:pt>
                <c:pt idx="29">
                  <c:v>27515</c:v>
                </c:pt>
                <c:pt idx="30">
                  <c:v>27546</c:v>
                </c:pt>
                <c:pt idx="31">
                  <c:v>27576</c:v>
                </c:pt>
                <c:pt idx="32">
                  <c:v>27607</c:v>
                </c:pt>
                <c:pt idx="33">
                  <c:v>27638</c:v>
                </c:pt>
                <c:pt idx="34">
                  <c:v>27668</c:v>
                </c:pt>
                <c:pt idx="35">
                  <c:v>27699</c:v>
                </c:pt>
                <c:pt idx="36">
                  <c:v>27729</c:v>
                </c:pt>
                <c:pt idx="37">
                  <c:v>27760</c:v>
                </c:pt>
                <c:pt idx="38">
                  <c:v>27791</c:v>
                </c:pt>
                <c:pt idx="39">
                  <c:v>27820</c:v>
                </c:pt>
                <c:pt idx="40">
                  <c:v>27851</c:v>
                </c:pt>
                <c:pt idx="41">
                  <c:v>27881</c:v>
                </c:pt>
                <c:pt idx="42">
                  <c:v>27912</c:v>
                </c:pt>
                <c:pt idx="43">
                  <c:v>27942</c:v>
                </c:pt>
                <c:pt idx="44">
                  <c:v>27973</c:v>
                </c:pt>
                <c:pt idx="45">
                  <c:v>28004</c:v>
                </c:pt>
                <c:pt idx="46">
                  <c:v>28034</c:v>
                </c:pt>
                <c:pt idx="47">
                  <c:v>28065</c:v>
                </c:pt>
                <c:pt idx="48">
                  <c:v>28095</c:v>
                </c:pt>
                <c:pt idx="49">
                  <c:v>28126</c:v>
                </c:pt>
                <c:pt idx="50">
                  <c:v>28157</c:v>
                </c:pt>
                <c:pt idx="51">
                  <c:v>28185</c:v>
                </c:pt>
                <c:pt idx="52">
                  <c:v>28216</c:v>
                </c:pt>
                <c:pt idx="53">
                  <c:v>28246</c:v>
                </c:pt>
                <c:pt idx="54">
                  <c:v>28277</c:v>
                </c:pt>
                <c:pt idx="55">
                  <c:v>28307</c:v>
                </c:pt>
                <c:pt idx="56">
                  <c:v>28338</c:v>
                </c:pt>
                <c:pt idx="57">
                  <c:v>28369</c:v>
                </c:pt>
                <c:pt idx="58">
                  <c:v>28399</c:v>
                </c:pt>
                <c:pt idx="59">
                  <c:v>28430</c:v>
                </c:pt>
                <c:pt idx="60">
                  <c:v>28460</c:v>
                </c:pt>
                <c:pt idx="61">
                  <c:v>28491</c:v>
                </c:pt>
                <c:pt idx="62">
                  <c:v>28522</c:v>
                </c:pt>
                <c:pt idx="63">
                  <c:v>28550</c:v>
                </c:pt>
                <c:pt idx="64">
                  <c:v>28581</c:v>
                </c:pt>
                <c:pt idx="65">
                  <c:v>28611</c:v>
                </c:pt>
                <c:pt idx="66">
                  <c:v>28642</c:v>
                </c:pt>
                <c:pt idx="67">
                  <c:v>28672</c:v>
                </c:pt>
                <c:pt idx="68">
                  <c:v>28703</c:v>
                </c:pt>
                <c:pt idx="69">
                  <c:v>28734</c:v>
                </c:pt>
                <c:pt idx="70">
                  <c:v>28764</c:v>
                </c:pt>
                <c:pt idx="71">
                  <c:v>28795</c:v>
                </c:pt>
                <c:pt idx="72">
                  <c:v>28825</c:v>
                </c:pt>
                <c:pt idx="73">
                  <c:v>28856</c:v>
                </c:pt>
                <c:pt idx="74">
                  <c:v>28887</c:v>
                </c:pt>
                <c:pt idx="75">
                  <c:v>28915</c:v>
                </c:pt>
                <c:pt idx="76">
                  <c:v>28946</c:v>
                </c:pt>
                <c:pt idx="77">
                  <c:v>28976</c:v>
                </c:pt>
                <c:pt idx="78">
                  <c:v>29007</c:v>
                </c:pt>
                <c:pt idx="79">
                  <c:v>29037</c:v>
                </c:pt>
                <c:pt idx="80">
                  <c:v>29068</c:v>
                </c:pt>
                <c:pt idx="81">
                  <c:v>29099</c:v>
                </c:pt>
                <c:pt idx="82">
                  <c:v>29129</c:v>
                </c:pt>
                <c:pt idx="83">
                  <c:v>29160</c:v>
                </c:pt>
                <c:pt idx="84">
                  <c:v>29190</c:v>
                </c:pt>
                <c:pt idx="85">
                  <c:v>29221</c:v>
                </c:pt>
                <c:pt idx="86">
                  <c:v>29252</c:v>
                </c:pt>
                <c:pt idx="87">
                  <c:v>29281</c:v>
                </c:pt>
                <c:pt idx="88">
                  <c:v>29312</c:v>
                </c:pt>
                <c:pt idx="89">
                  <c:v>29342</c:v>
                </c:pt>
                <c:pt idx="90">
                  <c:v>29373</c:v>
                </c:pt>
                <c:pt idx="91">
                  <c:v>29403</c:v>
                </c:pt>
                <c:pt idx="92">
                  <c:v>29434</c:v>
                </c:pt>
                <c:pt idx="93">
                  <c:v>29465</c:v>
                </c:pt>
                <c:pt idx="94">
                  <c:v>29495</c:v>
                </c:pt>
                <c:pt idx="95">
                  <c:v>29526</c:v>
                </c:pt>
                <c:pt idx="96">
                  <c:v>29556</c:v>
                </c:pt>
                <c:pt idx="97">
                  <c:v>29587</c:v>
                </c:pt>
                <c:pt idx="98">
                  <c:v>29618</c:v>
                </c:pt>
                <c:pt idx="99">
                  <c:v>29646</c:v>
                </c:pt>
                <c:pt idx="100">
                  <c:v>29677</c:v>
                </c:pt>
                <c:pt idx="101">
                  <c:v>29707</c:v>
                </c:pt>
                <c:pt idx="102">
                  <c:v>29738</c:v>
                </c:pt>
                <c:pt idx="103">
                  <c:v>29768</c:v>
                </c:pt>
                <c:pt idx="104">
                  <c:v>29799</c:v>
                </c:pt>
                <c:pt idx="105">
                  <c:v>29830</c:v>
                </c:pt>
                <c:pt idx="106">
                  <c:v>29860</c:v>
                </c:pt>
                <c:pt idx="107">
                  <c:v>29891</c:v>
                </c:pt>
                <c:pt idx="108">
                  <c:v>29921</c:v>
                </c:pt>
                <c:pt idx="109">
                  <c:v>29952</c:v>
                </c:pt>
                <c:pt idx="110">
                  <c:v>29983</c:v>
                </c:pt>
                <c:pt idx="111">
                  <c:v>30011</c:v>
                </c:pt>
                <c:pt idx="112">
                  <c:v>30042</c:v>
                </c:pt>
                <c:pt idx="113">
                  <c:v>30072</c:v>
                </c:pt>
                <c:pt idx="114">
                  <c:v>30103</c:v>
                </c:pt>
                <c:pt idx="115">
                  <c:v>30133</c:v>
                </c:pt>
                <c:pt idx="116">
                  <c:v>30164</c:v>
                </c:pt>
                <c:pt idx="117">
                  <c:v>30195</c:v>
                </c:pt>
                <c:pt idx="118">
                  <c:v>30225</c:v>
                </c:pt>
                <c:pt idx="119">
                  <c:v>30256</c:v>
                </c:pt>
                <c:pt idx="120">
                  <c:v>30286</c:v>
                </c:pt>
                <c:pt idx="121">
                  <c:v>30317</c:v>
                </c:pt>
                <c:pt idx="122">
                  <c:v>30348</c:v>
                </c:pt>
                <c:pt idx="123">
                  <c:v>30376</c:v>
                </c:pt>
                <c:pt idx="124">
                  <c:v>30407</c:v>
                </c:pt>
                <c:pt idx="125">
                  <c:v>30437</c:v>
                </c:pt>
                <c:pt idx="126">
                  <c:v>30468</c:v>
                </c:pt>
                <c:pt idx="127">
                  <c:v>30498</c:v>
                </c:pt>
                <c:pt idx="128">
                  <c:v>30529</c:v>
                </c:pt>
                <c:pt idx="129">
                  <c:v>30560</c:v>
                </c:pt>
                <c:pt idx="130">
                  <c:v>30590</c:v>
                </c:pt>
                <c:pt idx="131">
                  <c:v>30621</c:v>
                </c:pt>
                <c:pt idx="132">
                  <c:v>30651</c:v>
                </c:pt>
                <c:pt idx="133">
                  <c:v>30682</c:v>
                </c:pt>
                <c:pt idx="134">
                  <c:v>30713</c:v>
                </c:pt>
                <c:pt idx="135">
                  <c:v>30742</c:v>
                </c:pt>
                <c:pt idx="136">
                  <c:v>30773</c:v>
                </c:pt>
                <c:pt idx="137">
                  <c:v>30803</c:v>
                </c:pt>
                <c:pt idx="138">
                  <c:v>30834</c:v>
                </c:pt>
                <c:pt idx="139">
                  <c:v>30864</c:v>
                </c:pt>
                <c:pt idx="140">
                  <c:v>30895</c:v>
                </c:pt>
                <c:pt idx="141">
                  <c:v>30926</c:v>
                </c:pt>
                <c:pt idx="142">
                  <c:v>30956</c:v>
                </c:pt>
                <c:pt idx="143">
                  <c:v>30987</c:v>
                </c:pt>
                <c:pt idx="144">
                  <c:v>31017</c:v>
                </c:pt>
                <c:pt idx="145">
                  <c:v>31048</c:v>
                </c:pt>
                <c:pt idx="146">
                  <c:v>31079</c:v>
                </c:pt>
                <c:pt idx="147">
                  <c:v>31107</c:v>
                </c:pt>
                <c:pt idx="148">
                  <c:v>31138</c:v>
                </c:pt>
                <c:pt idx="149">
                  <c:v>31168</c:v>
                </c:pt>
                <c:pt idx="150">
                  <c:v>31199</c:v>
                </c:pt>
                <c:pt idx="151">
                  <c:v>31229</c:v>
                </c:pt>
                <c:pt idx="152">
                  <c:v>31260</c:v>
                </c:pt>
                <c:pt idx="153">
                  <c:v>31291</c:v>
                </c:pt>
                <c:pt idx="154">
                  <c:v>31321</c:v>
                </c:pt>
                <c:pt idx="155">
                  <c:v>31352</c:v>
                </c:pt>
                <c:pt idx="156">
                  <c:v>31382</c:v>
                </c:pt>
                <c:pt idx="157">
                  <c:v>31413</c:v>
                </c:pt>
                <c:pt idx="158">
                  <c:v>31444</c:v>
                </c:pt>
                <c:pt idx="159">
                  <c:v>31472</c:v>
                </c:pt>
                <c:pt idx="160">
                  <c:v>31503</c:v>
                </c:pt>
                <c:pt idx="161">
                  <c:v>31533</c:v>
                </c:pt>
                <c:pt idx="162">
                  <c:v>31564</c:v>
                </c:pt>
                <c:pt idx="163">
                  <c:v>31594</c:v>
                </c:pt>
                <c:pt idx="164">
                  <c:v>31625</c:v>
                </c:pt>
                <c:pt idx="165">
                  <c:v>31656</c:v>
                </c:pt>
                <c:pt idx="166">
                  <c:v>31686</c:v>
                </c:pt>
                <c:pt idx="167">
                  <c:v>31717</c:v>
                </c:pt>
                <c:pt idx="168">
                  <c:v>31747</c:v>
                </c:pt>
                <c:pt idx="169">
                  <c:v>31778</c:v>
                </c:pt>
                <c:pt idx="170">
                  <c:v>31809</c:v>
                </c:pt>
                <c:pt idx="171">
                  <c:v>31837</c:v>
                </c:pt>
                <c:pt idx="172">
                  <c:v>31868</c:v>
                </c:pt>
                <c:pt idx="173">
                  <c:v>31898</c:v>
                </c:pt>
                <c:pt idx="174">
                  <c:v>31929</c:v>
                </c:pt>
                <c:pt idx="175">
                  <c:v>31959</c:v>
                </c:pt>
                <c:pt idx="176">
                  <c:v>31990</c:v>
                </c:pt>
                <c:pt idx="177">
                  <c:v>32021</c:v>
                </c:pt>
                <c:pt idx="178">
                  <c:v>32051</c:v>
                </c:pt>
                <c:pt idx="179">
                  <c:v>32082</c:v>
                </c:pt>
                <c:pt idx="180">
                  <c:v>32112</c:v>
                </c:pt>
                <c:pt idx="181">
                  <c:v>32143</c:v>
                </c:pt>
                <c:pt idx="182">
                  <c:v>32174</c:v>
                </c:pt>
                <c:pt idx="183">
                  <c:v>32203</c:v>
                </c:pt>
                <c:pt idx="184">
                  <c:v>32234</c:v>
                </c:pt>
                <c:pt idx="185">
                  <c:v>32264</c:v>
                </c:pt>
                <c:pt idx="186">
                  <c:v>32295</c:v>
                </c:pt>
                <c:pt idx="187">
                  <c:v>32325</c:v>
                </c:pt>
                <c:pt idx="188">
                  <c:v>32356</c:v>
                </c:pt>
                <c:pt idx="189">
                  <c:v>32387</c:v>
                </c:pt>
                <c:pt idx="190">
                  <c:v>32417</c:v>
                </c:pt>
                <c:pt idx="191">
                  <c:v>32448</c:v>
                </c:pt>
                <c:pt idx="192">
                  <c:v>32478</c:v>
                </c:pt>
                <c:pt idx="193">
                  <c:v>32509</c:v>
                </c:pt>
                <c:pt idx="194">
                  <c:v>32540</c:v>
                </c:pt>
                <c:pt idx="195">
                  <c:v>32568</c:v>
                </c:pt>
                <c:pt idx="196">
                  <c:v>32599</c:v>
                </c:pt>
                <c:pt idx="197">
                  <c:v>32629</c:v>
                </c:pt>
                <c:pt idx="198">
                  <c:v>32660</c:v>
                </c:pt>
                <c:pt idx="199">
                  <c:v>32690</c:v>
                </c:pt>
                <c:pt idx="200">
                  <c:v>32721</c:v>
                </c:pt>
                <c:pt idx="201">
                  <c:v>32752</c:v>
                </c:pt>
                <c:pt idx="202">
                  <c:v>32782</c:v>
                </c:pt>
                <c:pt idx="203">
                  <c:v>32813</c:v>
                </c:pt>
                <c:pt idx="204">
                  <c:v>32843</c:v>
                </c:pt>
                <c:pt idx="205">
                  <c:v>32874</c:v>
                </c:pt>
                <c:pt idx="206">
                  <c:v>32905</c:v>
                </c:pt>
                <c:pt idx="207">
                  <c:v>32933</c:v>
                </c:pt>
                <c:pt idx="208">
                  <c:v>32964</c:v>
                </c:pt>
                <c:pt idx="209">
                  <c:v>32994</c:v>
                </c:pt>
                <c:pt idx="210">
                  <c:v>33025</c:v>
                </c:pt>
                <c:pt idx="211">
                  <c:v>33055</c:v>
                </c:pt>
                <c:pt idx="212">
                  <c:v>33086</c:v>
                </c:pt>
                <c:pt idx="213">
                  <c:v>33117</c:v>
                </c:pt>
                <c:pt idx="214">
                  <c:v>33147</c:v>
                </c:pt>
                <c:pt idx="215">
                  <c:v>33178</c:v>
                </c:pt>
                <c:pt idx="216">
                  <c:v>33208</c:v>
                </c:pt>
                <c:pt idx="217">
                  <c:v>33239</c:v>
                </c:pt>
                <c:pt idx="218">
                  <c:v>33270</c:v>
                </c:pt>
                <c:pt idx="219">
                  <c:v>33298</c:v>
                </c:pt>
                <c:pt idx="220">
                  <c:v>33329</c:v>
                </c:pt>
                <c:pt idx="221">
                  <c:v>33359</c:v>
                </c:pt>
                <c:pt idx="222">
                  <c:v>33390</c:v>
                </c:pt>
                <c:pt idx="223">
                  <c:v>33420</c:v>
                </c:pt>
                <c:pt idx="224">
                  <c:v>33451</c:v>
                </c:pt>
                <c:pt idx="225">
                  <c:v>33482</c:v>
                </c:pt>
                <c:pt idx="226">
                  <c:v>33512</c:v>
                </c:pt>
                <c:pt idx="227">
                  <c:v>33543</c:v>
                </c:pt>
                <c:pt idx="228">
                  <c:v>33573</c:v>
                </c:pt>
                <c:pt idx="229">
                  <c:v>33604</c:v>
                </c:pt>
                <c:pt idx="230">
                  <c:v>33635</c:v>
                </c:pt>
                <c:pt idx="231">
                  <c:v>33664</c:v>
                </c:pt>
                <c:pt idx="232">
                  <c:v>33695</c:v>
                </c:pt>
                <c:pt idx="233">
                  <c:v>33725</c:v>
                </c:pt>
                <c:pt idx="234">
                  <c:v>33756</c:v>
                </c:pt>
                <c:pt idx="235">
                  <c:v>33786</c:v>
                </c:pt>
                <c:pt idx="236">
                  <c:v>33817</c:v>
                </c:pt>
                <c:pt idx="237">
                  <c:v>33848</c:v>
                </c:pt>
                <c:pt idx="238">
                  <c:v>33878</c:v>
                </c:pt>
                <c:pt idx="239">
                  <c:v>33909</c:v>
                </c:pt>
                <c:pt idx="240">
                  <c:v>33939</c:v>
                </c:pt>
                <c:pt idx="241">
                  <c:v>33970</c:v>
                </c:pt>
                <c:pt idx="242">
                  <c:v>34001</c:v>
                </c:pt>
                <c:pt idx="243">
                  <c:v>34029</c:v>
                </c:pt>
                <c:pt idx="244">
                  <c:v>34060</c:v>
                </c:pt>
                <c:pt idx="245">
                  <c:v>34090</c:v>
                </c:pt>
                <c:pt idx="246">
                  <c:v>34121</c:v>
                </c:pt>
                <c:pt idx="247">
                  <c:v>34151</c:v>
                </c:pt>
                <c:pt idx="248">
                  <c:v>34182</c:v>
                </c:pt>
                <c:pt idx="249">
                  <c:v>34213</c:v>
                </c:pt>
                <c:pt idx="250">
                  <c:v>34243</c:v>
                </c:pt>
                <c:pt idx="251">
                  <c:v>34274</c:v>
                </c:pt>
                <c:pt idx="252">
                  <c:v>34304</c:v>
                </c:pt>
                <c:pt idx="253">
                  <c:v>34335</c:v>
                </c:pt>
                <c:pt idx="254">
                  <c:v>34366</c:v>
                </c:pt>
                <c:pt idx="255">
                  <c:v>34394</c:v>
                </c:pt>
                <c:pt idx="256">
                  <c:v>34425</c:v>
                </c:pt>
                <c:pt idx="257">
                  <c:v>34455</c:v>
                </c:pt>
                <c:pt idx="258">
                  <c:v>34486</c:v>
                </c:pt>
                <c:pt idx="259">
                  <c:v>34516</c:v>
                </c:pt>
                <c:pt idx="260">
                  <c:v>34547</c:v>
                </c:pt>
                <c:pt idx="261">
                  <c:v>34578</c:v>
                </c:pt>
                <c:pt idx="262">
                  <c:v>34608</c:v>
                </c:pt>
                <c:pt idx="263">
                  <c:v>34639</c:v>
                </c:pt>
                <c:pt idx="264">
                  <c:v>34669</c:v>
                </c:pt>
                <c:pt idx="265">
                  <c:v>34700</c:v>
                </c:pt>
                <c:pt idx="266">
                  <c:v>34731</c:v>
                </c:pt>
                <c:pt idx="267">
                  <c:v>34759</c:v>
                </c:pt>
                <c:pt idx="268">
                  <c:v>34790</c:v>
                </c:pt>
                <c:pt idx="269">
                  <c:v>34820</c:v>
                </c:pt>
                <c:pt idx="270">
                  <c:v>34851</c:v>
                </c:pt>
                <c:pt idx="271">
                  <c:v>34881</c:v>
                </c:pt>
                <c:pt idx="272">
                  <c:v>34912</c:v>
                </c:pt>
                <c:pt idx="273">
                  <c:v>34943</c:v>
                </c:pt>
                <c:pt idx="274">
                  <c:v>34973</c:v>
                </c:pt>
                <c:pt idx="275">
                  <c:v>35004</c:v>
                </c:pt>
                <c:pt idx="276">
                  <c:v>35034</c:v>
                </c:pt>
                <c:pt idx="277">
                  <c:v>35065</c:v>
                </c:pt>
                <c:pt idx="278">
                  <c:v>35096</c:v>
                </c:pt>
                <c:pt idx="279">
                  <c:v>35125</c:v>
                </c:pt>
                <c:pt idx="280">
                  <c:v>35156</c:v>
                </c:pt>
                <c:pt idx="281">
                  <c:v>35186</c:v>
                </c:pt>
                <c:pt idx="282">
                  <c:v>35217</c:v>
                </c:pt>
                <c:pt idx="283">
                  <c:v>35247</c:v>
                </c:pt>
                <c:pt idx="284">
                  <c:v>35278</c:v>
                </c:pt>
                <c:pt idx="285">
                  <c:v>35309</c:v>
                </c:pt>
                <c:pt idx="286">
                  <c:v>35339</c:v>
                </c:pt>
                <c:pt idx="287">
                  <c:v>35370</c:v>
                </c:pt>
                <c:pt idx="288">
                  <c:v>35400</c:v>
                </c:pt>
                <c:pt idx="289">
                  <c:v>35431</c:v>
                </c:pt>
                <c:pt idx="290">
                  <c:v>35462</c:v>
                </c:pt>
                <c:pt idx="291">
                  <c:v>35490</c:v>
                </c:pt>
                <c:pt idx="292">
                  <c:v>35521</c:v>
                </c:pt>
                <c:pt idx="293">
                  <c:v>35551</c:v>
                </c:pt>
                <c:pt idx="294">
                  <c:v>35582</c:v>
                </c:pt>
                <c:pt idx="295">
                  <c:v>35612</c:v>
                </c:pt>
                <c:pt idx="296">
                  <c:v>35643</c:v>
                </c:pt>
                <c:pt idx="297">
                  <c:v>35674</c:v>
                </c:pt>
                <c:pt idx="298">
                  <c:v>35704</c:v>
                </c:pt>
                <c:pt idx="299">
                  <c:v>35735</c:v>
                </c:pt>
                <c:pt idx="300">
                  <c:v>35765</c:v>
                </c:pt>
                <c:pt idx="301">
                  <c:v>35796</c:v>
                </c:pt>
                <c:pt idx="302">
                  <c:v>35827</c:v>
                </c:pt>
                <c:pt idx="303">
                  <c:v>35855</c:v>
                </c:pt>
                <c:pt idx="304">
                  <c:v>35886</c:v>
                </c:pt>
                <c:pt idx="305">
                  <c:v>35916</c:v>
                </c:pt>
                <c:pt idx="306">
                  <c:v>35947</c:v>
                </c:pt>
                <c:pt idx="307">
                  <c:v>35977</c:v>
                </c:pt>
                <c:pt idx="308">
                  <c:v>36008</c:v>
                </c:pt>
                <c:pt idx="309">
                  <c:v>36039</c:v>
                </c:pt>
                <c:pt idx="310">
                  <c:v>36069</c:v>
                </c:pt>
                <c:pt idx="311">
                  <c:v>36100</c:v>
                </c:pt>
                <c:pt idx="312">
                  <c:v>36130</c:v>
                </c:pt>
                <c:pt idx="313">
                  <c:v>36161</c:v>
                </c:pt>
                <c:pt idx="314">
                  <c:v>36192</c:v>
                </c:pt>
                <c:pt idx="315">
                  <c:v>36220</c:v>
                </c:pt>
                <c:pt idx="316">
                  <c:v>36251</c:v>
                </c:pt>
                <c:pt idx="317">
                  <c:v>36281</c:v>
                </c:pt>
                <c:pt idx="318">
                  <c:v>36312</c:v>
                </c:pt>
                <c:pt idx="319">
                  <c:v>36342</c:v>
                </c:pt>
                <c:pt idx="320">
                  <c:v>36373</c:v>
                </c:pt>
                <c:pt idx="321">
                  <c:v>36404</c:v>
                </c:pt>
                <c:pt idx="322">
                  <c:v>36434</c:v>
                </c:pt>
                <c:pt idx="323">
                  <c:v>36465</c:v>
                </c:pt>
                <c:pt idx="324">
                  <c:v>36495</c:v>
                </c:pt>
                <c:pt idx="325">
                  <c:v>36526</c:v>
                </c:pt>
                <c:pt idx="326">
                  <c:v>36557</c:v>
                </c:pt>
                <c:pt idx="327">
                  <c:v>36586</c:v>
                </c:pt>
                <c:pt idx="328">
                  <c:v>36617</c:v>
                </c:pt>
                <c:pt idx="329">
                  <c:v>36647</c:v>
                </c:pt>
                <c:pt idx="330">
                  <c:v>36678</c:v>
                </c:pt>
                <c:pt idx="331">
                  <c:v>36708</c:v>
                </c:pt>
                <c:pt idx="332">
                  <c:v>36739</c:v>
                </c:pt>
                <c:pt idx="333">
                  <c:v>36770</c:v>
                </c:pt>
                <c:pt idx="334">
                  <c:v>36800</c:v>
                </c:pt>
                <c:pt idx="335">
                  <c:v>36831</c:v>
                </c:pt>
                <c:pt idx="336">
                  <c:v>36861</c:v>
                </c:pt>
                <c:pt idx="337">
                  <c:v>36892</c:v>
                </c:pt>
                <c:pt idx="338">
                  <c:v>36923</c:v>
                </c:pt>
                <c:pt idx="339">
                  <c:v>36951</c:v>
                </c:pt>
                <c:pt idx="340">
                  <c:v>36982</c:v>
                </c:pt>
                <c:pt idx="341">
                  <c:v>37012</c:v>
                </c:pt>
                <c:pt idx="342">
                  <c:v>37043</c:v>
                </c:pt>
                <c:pt idx="343">
                  <c:v>37073</c:v>
                </c:pt>
                <c:pt idx="344">
                  <c:v>37104</c:v>
                </c:pt>
                <c:pt idx="345">
                  <c:v>37135</c:v>
                </c:pt>
                <c:pt idx="346">
                  <c:v>37165</c:v>
                </c:pt>
                <c:pt idx="347">
                  <c:v>37196</c:v>
                </c:pt>
                <c:pt idx="348">
                  <c:v>37226</c:v>
                </c:pt>
                <c:pt idx="349">
                  <c:v>37257</c:v>
                </c:pt>
                <c:pt idx="350">
                  <c:v>37288</c:v>
                </c:pt>
                <c:pt idx="351">
                  <c:v>37316</c:v>
                </c:pt>
                <c:pt idx="352">
                  <c:v>37347</c:v>
                </c:pt>
                <c:pt idx="353">
                  <c:v>37377</c:v>
                </c:pt>
                <c:pt idx="354">
                  <c:v>37408</c:v>
                </c:pt>
                <c:pt idx="355">
                  <c:v>37438</c:v>
                </c:pt>
                <c:pt idx="356">
                  <c:v>37469</c:v>
                </c:pt>
                <c:pt idx="357">
                  <c:v>37500</c:v>
                </c:pt>
                <c:pt idx="358">
                  <c:v>37530</c:v>
                </c:pt>
                <c:pt idx="359">
                  <c:v>37561</c:v>
                </c:pt>
                <c:pt idx="360">
                  <c:v>37591</c:v>
                </c:pt>
                <c:pt idx="361">
                  <c:v>37622</c:v>
                </c:pt>
                <c:pt idx="362">
                  <c:v>37653</c:v>
                </c:pt>
                <c:pt idx="363">
                  <c:v>37681</c:v>
                </c:pt>
                <c:pt idx="364">
                  <c:v>37712</c:v>
                </c:pt>
                <c:pt idx="365">
                  <c:v>37742</c:v>
                </c:pt>
                <c:pt idx="366">
                  <c:v>37773</c:v>
                </c:pt>
                <c:pt idx="367">
                  <c:v>37803</c:v>
                </c:pt>
                <c:pt idx="368">
                  <c:v>37834</c:v>
                </c:pt>
                <c:pt idx="369">
                  <c:v>37865</c:v>
                </c:pt>
                <c:pt idx="370">
                  <c:v>37895</c:v>
                </c:pt>
                <c:pt idx="371">
                  <c:v>37926</c:v>
                </c:pt>
                <c:pt idx="372">
                  <c:v>37956</c:v>
                </c:pt>
                <c:pt idx="373">
                  <c:v>37987</c:v>
                </c:pt>
                <c:pt idx="374">
                  <c:v>38018</c:v>
                </c:pt>
                <c:pt idx="375">
                  <c:v>38047</c:v>
                </c:pt>
                <c:pt idx="376">
                  <c:v>38078</c:v>
                </c:pt>
                <c:pt idx="377">
                  <c:v>38108</c:v>
                </c:pt>
                <c:pt idx="378">
                  <c:v>38139</c:v>
                </c:pt>
                <c:pt idx="379">
                  <c:v>38169</c:v>
                </c:pt>
                <c:pt idx="380">
                  <c:v>38200</c:v>
                </c:pt>
                <c:pt idx="381">
                  <c:v>38231</c:v>
                </c:pt>
                <c:pt idx="382">
                  <c:v>38261</c:v>
                </c:pt>
                <c:pt idx="383">
                  <c:v>38292</c:v>
                </c:pt>
                <c:pt idx="384">
                  <c:v>38322</c:v>
                </c:pt>
                <c:pt idx="385">
                  <c:v>38353</c:v>
                </c:pt>
                <c:pt idx="386">
                  <c:v>38384</c:v>
                </c:pt>
                <c:pt idx="387">
                  <c:v>38412</c:v>
                </c:pt>
                <c:pt idx="388">
                  <c:v>38443</c:v>
                </c:pt>
                <c:pt idx="389">
                  <c:v>38473</c:v>
                </c:pt>
                <c:pt idx="390">
                  <c:v>38504</c:v>
                </c:pt>
                <c:pt idx="391">
                  <c:v>38534</c:v>
                </c:pt>
                <c:pt idx="392">
                  <c:v>38565</c:v>
                </c:pt>
                <c:pt idx="393">
                  <c:v>38596</c:v>
                </c:pt>
                <c:pt idx="394">
                  <c:v>38626</c:v>
                </c:pt>
                <c:pt idx="395">
                  <c:v>38657</c:v>
                </c:pt>
                <c:pt idx="396">
                  <c:v>38687</c:v>
                </c:pt>
                <c:pt idx="397">
                  <c:v>38718</c:v>
                </c:pt>
                <c:pt idx="398">
                  <c:v>38749</c:v>
                </c:pt>
                <c:pt idx="399">
                  <c:v>38777</c:v>
                </c:pt>
                <c:pt idx="400">
                  <c:v>38808</c:v>
                </c:pt>
                <c:pt idx="401">
                  <c:v>38838</c:v>
                </c:pt>
                <c:pt idx="402">
                  <c:v>38869</c:v>
                </c:pt>
                <c:pt idx="403">
                  <c:v>38899</c:v>
                </c:pt>
                <c:pt idx="404">
                  <c:v>38930</c:v>
                </c:pt>
                <c:pt idx="405">
                  <c:v>38961</c:v>
                </c:pt>
                <c:pt idx="406">
                  <c:v>38991</c:v>
                </c:pt>
                <c:pt idx="407">
                  <c:v>39022</c:v>
                </c:pt>
                <c:pt idx="408">
                  <c:v>39052</c:v>
                </c:pt>
                <c:pt idx="409">
                  <c:v>39083</c:v>
                </c:pt>
                <c:pt idx="410">
                  <c:v>39114</c:v>
                </c:pt>
                <c:pt idx="411">
                  <c:v>39142</c:v>
                </c:pt>
                <c:pt idx="412">
                  <c:v>39173</c:v>
                </c:pt>
                <c:pt idx="413">
                  <c:v>39203</c:v>
                </c:pt>
                <c:pt idx="414">
                  <c:v>39234</c:v>
                </c:pt>
                <c:pt idx="415">
                  <c:v>39264</c:v>
                </c:pt>
                <c:pt idx="416">
                  <c:v>39295</c:v>
                </c:pt>
                <c:pt idx="417">
                  <c:v>39326</c:v>
                </c:pt>
                <c:pt idx="418">
                  <c:v>39356</c:v>
                </c:pt>
                <c:pt idx="419">
                  <c:v>39387</c:v>
                </c:pt>
                <c:pt idx="420">
                  <c:v>39417</c:v>
                </c:pt>
                <c:pt idx="421">
                  <c:v>39448</c:v>
                </c:pt>
                <c:pt idx="422">
                  <c:v>39479</c:v>
                </c:pt>
                <c:pt idx="423">
                  <c:v>39508</c:v>
                </c:pt>
                <c:pt idx="424">
                  <c:v>39539</c:v>
                </c:pt>
                <c:pt idx="425">
                  <c:v>39569</c:v>
                </c:pt>
                <c:pt idx="426">
                  <c:v>39600</c:v>
                </c:pt>
                <c:pt idx="427">
                  <c:v>39630</c:v>
                </c:pt>
                <c:pt idx="428">
                  <c:v>39661</c:v>
                </c:pt>
                <c:pt idx="429">
                  <c:v>39692</c:v>
                </c:pt>
                <c:pt idx="430">
                  <c:v>39722</c:v>
                </c:pt>
                <c:pt idx="431">
                  <c:v>39753</c:v>
                </c:pt>
                <c:pt idx="432">
                  <c:v>39783</c:v>
                </c:pt>
                <c:pt idx="433">
                  <c:v>39814</c:v>
                </c:pt>
                <c:pt idx="434">
                  <c:v>39845</c:v>
                </c:pt>
                <c:pt idx="435">
                  <c:v>39873</c:v>
                </c:pt>
                <c:pt idx="436">
                  <c:v>39904</c:v>
                </c:pt>
                <c:pt idx="437">
                  <c:v>39934</c:v>
                </c:pt>
                <c:pt idx="438">
                  <c:v>39965</c:v>
                </c:pt>
                <c:pt idx="439">
                  <c:v>39995</c:v>
                </c:pt>
                <c:pt idx="440">
                  <c:v>40026</c:v>
                </c:pt>
                <c:pt idx="441">
                  <c:v>40057</c:v>
                </c:pt>
                <c:pt idx="442">
                  <c:v>40087</c:v>
                </c:pt>
                <c:pt idx="443">
                  <c:v>40118</c:v>
                </c:pt>
                <c:pt idx="444">
                  <c:v>40148</c:v>
                </c:pt>
                <c:pt idx="445">
                  <c:v>40179</c:v>
                </c:pt>
                <c:pt idx="446">
                  <c:v>40210</c:v>
                </c:pt>
                <c:pt idx="447">
                  <c:v>40238</c:v>
                </c:pt>
                <c:pt idx="448">
                  <c:v>40269</c:v>
                </c:pt>
                <c:pt idx="449">
                  <c:v>40299</c:v>
                </c:pt>
                <c:pt idx="450">
                  <c:v>40330</c:v>
                </c:pt>
                <c:pt idx="451">
                  <c:v>40360</c:v>
                </c:pt>
                <c:pt idx="452">
                  <c:v>40391</c:v>
                </c:pt>
                <c:pt idx="453">
                  <c:v>40422</c:v>
                </c:pt>
                <c:pt idx="454">
                  <c:v>40452</c:v>
                </c:pt>
                <c:pt idx="455">
                  <c:v>40483</c:v>
                </c:pt>
                <c:pt idx="456">
                  <c:v>40513</c:v>
                </c:pt>
                <c:pt idx="457">
                  <c:v>40544</c:v>
                </c:pt>
                <c:pt idx="458">
                  <c:v>40575</c:v>
                </c:pt>
                <c:pt idx="459">
                  <c:v>40603</c:v>
                </c:pt>
                <c:pt idx="460">
                  <c:v>40634</c:v>
                </c:pt>
                <c:pt idx="461">
                  <c:v>40664</c:v>
                </c:pt>
                <c:pt idx="462">
                  <c:v>40695</c:v>
                </c:pt>
                <c:pt idx="463">
                  <c:v>40725</c:v>
                </c:pt>
                <c:pt idx="464">
                  <c:v>40756</c:v>
                </c:pt>
                <c:pt idx="465">
                  <c:v>40787</c:v>
                </c:pt>
                <c:pt idx="466">
                  <c:v>40817</c:v>
                </c:pt>
                <c:pt idx="467">
                  <c:v>40848</c:v>
                </c:pt>
                <c:pt idx="468">
                  <c:v>40878</c:v>
                </c:pt>
                <c:pt idx="469">
                  <c:v>40909</c:v>
                </c:pt>
                <c:pt idx="470">
                  <c:v>40940</c:v>
                </c:pt>
                <c:pt idx="471">
                  <c:v>40969</c:v>
                </c:pt>
                <c:pt idx="472">
                  <c:v>41000</c:v>
                </c:pt>
                <c:pt idx="473">
                  <c:v>41030</c:v>
                </c:pt>
                <c:pt idx="474">
                  <c:v>41061</c:v>
                </c:pt>
                <c:pt idx="475">
                  <c:v>41091</c:v>
                </c:pt>
                <c:pt idx="476">
                  <c:v>41122</c:v>
                </c:pt>
                <c:pt idx="477">
                  <c:v>41153</c:v>
                </c:pt>
                <c:pt idx="478">
                  <c:v>41183</c:v>
                </c:pt>
                <c:pt idx="479">
                  <c:v>41214</c:v>
                </c:pt>
                <c:pt idx="480">
                  <c:v>41244</c:v>
                </c:pt>
                <c:pt idx="481">
                  <c:v>41275</c:v>
                </c:pt>
                <c:pt idx="482">
                  <c:v>41306</c:v>
                </c:pt>
                <c:pt idx="483">
                  <c:v>41334</c:v>
                </c:pt>
                <c:pt idx="484">
                  <c:v>41365</c:v>
                </c:pt>
                <c:pt idx="485">
                  <c:v>41395</c:v>
                </c:pt>
                <c:pt idx="486">
                  <c:v>41426</c:v>
                </c:pt>
                <c:pt idx="487">
                  <c:v>41456</c:v>
                </c:pt>
                <c:pt idx="488">
                  <c:v>41487</c:v>
                </c:pt>
                <c:pt idx="489">
                  <c:v>41518</c:v>
                </c:pt>
                <c:pt idx="490">
                  <c:v>41548</c:v>
                </c:pt>
                <c:pt idx="491">
                  <c:v>41579</c:v>
                </c:pt>
                <c:pt idx="492">
                  <c:v>41609</c:v>
                </c:pt>
                <c:pt idx="493">
                  <c:v>41640</c:v>
                </c:pt>
                <c:pt idx="494">
                  <c:v>41671</c:v>
                </c:pt>
                <c:pt idx="495">
                  <c:v>41699</c:v>
                </c:pt>
                <c:pt idx="496">
                  <c:v>41730</c:v>
                </c:pt>
                <c:pt idx="497">
                  <c:v>41760</c:v>
                </c:pt>
                <c:pt idx="498">
                  <c:v>41791</c:v>
                </c:pt>
                <c:pt idx="499">
                  <c:v>41821</c:v>
                </c:pt>
                <c:pt idx="500">
                  <c:v>41852</c:v>
                </c:pt>
                <c:pt idx="501">
                  <c:v>41883</c:v>
                </c:pt>
                <c:pt idx="502">
                  <c:v>41913</c:v>
                </c:pt>
                <c:pt idx="503">
                  <c:v>41944</c:v>
                </c:pt>
                <c:pt idx="504">
                  <c:v>41974</c:v>
                </c:pt>
                <c:pt idx="505">
                  <c:v>42005</c:v>
                </c:pt>
                <c:pt idx="506">
                  <c:v>42036</c:v>
                </c:pt>
                <c:pt idx="507">
                  <c:v>42064</c:v>
                </c:pt>
                <c:pt idx="508">
                  <c:v>42095</c:v>
                </c:pt>
                <c:pt idx="509">
                  <c:v>42125</c:v>
                </c:pt>
                <c:pt idx="510">
                  <c:v>42156</c:v>
                </c:pt>
                <c:pt idx="511">
                  <c:v>42186</c:v>
                </c:pt>
                <c:pt idx="512">
                  <c:v>42217</c:v>
                </c:pt>
                <c:pt idx="513">
                  <c:v>42248</c:v>
                </c:pt>
                <c:pt idx="514">
                  <c:v>42278</c:v>
                </c:pt>
                <c:pt idx="515">
                  <c:v>42309</c:v>
                </c:pt>
                <c:pt idx="516">
                  <c:v>42339</c:v>
                </c:pt>
                <c:pt idx="517">
                  <c:v>42370</c:v>
                </c:pt>
                <c:pt idx="518">
                  <c:v>42401</c:v>
                </c:pt>
                <c:pt idx="519">
                  <c:v>42430</c:v>
                </c:pt>
                <c:pt idx="520">
                  <c:v>42461</c:v>
                </c:pt>
                <c:pt idx="521">
                  <c:v>42491</c:v>
                </c:pt>
                <c:pt idx="522">
                  <c:v>42522</c:v>
                </c:pt>
                <c:pt idx="523">
                  <c:v>42552</c:v>
                </c:pt>
                <c:pt idx="524">
                  <c:v>42583</c:v>
                </c:pt>
                <c:pt idx="525">
                  <c:v>42614</c:v>
                </c:pt>
                <c:pt idx="526">
                  <c:v>42644</c:v>
                </c:pt>
                <c:pt idx="527">
                  <c:v>42675</c:v>
                </c:pt>
                <c:pt idx="528">
                  <c:v>42705</c:v>
                </c:pt>
                <c:pt idx="529">
                  <c:v>42736</c:v>
                </c:pt>
                <c:pt idx="530">
                  <c:v>42767</c:v>
                </c:pt>
                <c:pt idx="531">
                  <c:v>42795</c:v>
                </c:pt>
                <c:pt idx="532">
                  <c:v>42826</c:v>
                </c:pt>
                <c:pt idx="533">
                  <c:v>42856</c:v>
                </c:pt>
                <c:pt idx="534">
                  <c:v>42887</c:v>
                </c:pt>
                <c:pt idx="535">
                  <c:v>42917</c:v>
                </c:pt>
                <c:pt idx="536">
                  <c:v>42948</c:v>
                </c:pt>
                <c:pt idx="537">
                  <c:v>42979</c:v>
                </c:pt>
                <c:pt idx="538">
                  <c:v>43009</c:v>
                </c:pt>
                <c:pt idx="539">
                  <c:v>43040</c:v>
                </c:pt>
                <c:pt idx="540">
                  <c:v>43070</c:v>
                </c:pt>
                <c:pt idx="541">
                  <c:v>43101</c:v>
                </c:pt>
                <c:pt idx="542">
                  <c:v>43132</c:v>
                </c:pt>
                <c:pt idx="543">
                  <c:v>43160</c:v>
                </c:pt>
                <c:pt idx="544">
                  <c:v>43191</c:v>
                </c:pt>
                <c:pt idx="545">
                  <c:v>43221</c:v>
                </c:pt>
                <c:pt idx="546">
                  <c:v>43252</c:v>
                </c:pt>
                <c:pt idx="547">
                  <c:v>43282</c:v>
                </c:pt>
                <c:pt idx="548">
                  <c:v>43313</c:v>
                </c:pt>
                <c:pt idx="549">
                  <c:v>43344</c:v>
                </c:pt>
                <c:pt idx="550">
                  <c:v>43374</c:v>
                </c:pt>
                <c:pt idx="551">
                  <c:v>43405</c:v>
                </c:pt>
                <c:pt idx="552">
                  <c:v>43435</c:v>
                </c:pt>
                <c:pt idx="553">
                  <c:v>43466</c:v>
                </c:pt>
                <c:pt idx="554">
                  <c:v>43497</c:v>
                </c:pt>
                <c:pt idx="555">
                  <c:v>43525</c:v>
                </c:pt>
                <c:pt idx="556">
                  <c:v>43556</c:v>
                </c:pt>
                <c:pt idx="557">
                  <c:v>43586</c:v>
                </c:pt>
                <c:pt idx="558">
                  <c:v>43617</c:v>
                </c:pt>
                <c:pt idx="559">
                  <c:v>43647</c:v>
                </c:pt>
                <c:pt idx="560">
                  <c:v>43678</c:v>
                </c:pt>
                <c:pt idx="561">
                  <c:v>43709</c:v>
                </c:pt>
                <c:pt idx="562">
                  <c:v>43739</c:v>
                </c:pt>
                <c:pt idx="563">
                  <c:v>43770</c:v>
                </c:pt>
                <c:pt idx="564">
                  <c:v>43800</c:v>
                </c:pt>
                <c:pt idx="565">
                  <c:v>43831</c:v>
                </c:pt>
                <c:pt idx="566">
                  <c:v>43862</c:v>
                </c:pt>
                <c:pt idx="567">
                  <c:v>43891</c:v>
                </c:pt>
                <c:pt idx="568">
                  <c:v>43922</c:v>
                </c:pt>
                <c:pt idx="569">
                  <c:v>43952</c:v>
                </c:pt>
                <c:pt idx="570">
                  <c:v>43983</c:v>
                </c:pt>
                <c:pt idx="571">
                  <c:v>44013</c:v>
                </c:pt>
                <c:pt idx="572">
                  <c:v>44044</c:v>
                </c:pt>
                <c:pt idx="573">
                  <c:v>44075</c:v>
                </c:pt>
                <c:pt idx="574">
                  <c:v>44105</c:v>
                </c:pt>
                <c:pt idx="575">
                  <c:v>44136</c:v>
                </c:pt>
                <c:pt idx="576">
                  <c:v>44166</c:v>
                </c:pt>
                <c:pt idx="577">
                  <c:v>44197</c:v>
                </c:pt>
                <c:pt idx="578">
                  <c:v>44228</c:v>
                </c:pt>
                <c:pt idx="579">
                  <c:v>44256</c:v>
                </c:pt>
                <c:pt idx="580">
                  <c:v>44287</c:v>
                </c:pt>
                <c:pt idx="581">
                  <c:v>44317</c:v>
                </c:pt>
                <c:pt idx="582">
                  <c:v>44348</c:v>
                </c:pt>
                <c:pt idx="583">
                  <c:v>44378</c:v>
                </c:pt>
                <c:pt idx="584">
                  <c:v>44409</c:v>
                </c:pt>
                <c:pt idx="585">
                  <c:v>44440</c:v>
                </c:pt>
                <c:pt idx="586">
                  <c:v>44470</c:v>
                </c:pt>
                <c:pt idx="587">
                  <c:v>44501</c:v>
                </c:pt>
                <c:pt idx="588">
                  <c:v>44531</c:v>
                </c:pt>
                <c:pt idx="589">
                  <c:v>44562</c:v>
                </c:pt>
                <c:pt idx="590">
                  <c:v>44593</c:v>
                </c:pt>
                <c:pt idx="591">
                  <c:v>44621</c:v>
                </c:pt>
                <c:pt idx="592">
                  <c:v>44652</c:v>
                </c:pt>
                <c:pt idx="593">
                  <c:v>44682</c:v>
                </c:pt>
                <c:pt idx="594">
                  <c:v>44713</c:v>
                </c:pt>
                <c:pt idx="595">
                  <c:v>44743</c:v>
                </c:pt>
                <c:pt idx="596">
                  <c:v>44774</c:v>
                </c:pt>
                <c:pt idx="597">
                  <c:v>44805</c:v>
                </c:pt>
                <c:pt idx="598">
                  <c:v>44835</c:v>
                </c:pt>
                <c:pt idx="599">
                  <c:v>44866</c:v>
                </c:pt>
                <c:pt idx="600">
                  <c:v>44896</c:v>
                </c:pt>
                <c:pt idx="601">
                  <c:v>44927</c:v>
                </c:pt>
                <c:pt idx="602">
                  <c:v>44958</c:v>
                </c:pt>
                <c:pt idx="603">
                  <c:v>44986</c:v>
                </c:pt>
                <c:pt idx="604">
                  <c:v>45017</c:v>
                </c:pt>
                <c:pt idx="605">
                  <c:v>45047</c:v>
                </c:pt>
                <c:pt idx="606">
                  <c:v>45078</c:v>
                </c:pt>
                <c:pt idx="607">
                  <c:v>45108</c:v>
                </c:pt>
                <c:pt idx="608">
                  <c:v>45139</c:v>
                </c:pt>
                <c:pt idx="609">
                  <c:v>45170</c:v>
                </c:pt>
                <c:pt idx="610">
                  <c:v>45200</c:v>
                </c:pt>
                <c:pt idx="611">
                  <c:v>45231</c:v>
                </c:pt>
                <c:pt idx="612">
                  <c:v>45261</c:v>
                </c:pt>
                <c:pt idx="613">
                  <c:v>45292</c:v>
                </c:pt>
                <c:pt idx="614">
                  <c:v>45323</c:v>
                </c:pt>
                <c:pt idx="615">
                  <c:v>45352</c:v>
                </c:pt>
                <c:pt idx="616">
                  <c:v>45383</c:v>
                </c:pt>
                <c:pt idx="617">
                  <c:v>45413</c:v>
                </c:pt>
                <c:pt idx="618">
                  <c:v>45444</c:v>
                </c:pt>
                <c:pt idx="619">
                  <c:v>45474</c:v>
                </c:pt>
                <c:pt idx="620">
                  <c:v>45505</c:v>
                </c:pt>
                <c:pt idx="621">
                  <c:v>45536</c:v>
                </c:pt>
                <c:pt idx="622">
                  <c:v>45566</c:v>
                </c:pt>
                <c:pt idx="623">
                  <c:v>45597</c:v>
                </c:pt>
                <c:pt idx="624">
                  <c:v>45627</c:v>
                </c:pt>
                <c:pt idx="625">
                  <c:v>45658</c:v>
                </c:pt>
                <c:pt idx="626">
                  <c:v>45689</c:v>
                </c:pt>
                <c:pt idx="627">
                  <c:v>45717</c:v>
                </c:pt>
                <c:pt idx="628">
                  <c:v>45748</c:v>
                </c:pt>
                <c:pt idx="629">
                  <c:v>45778</c:v>
                </c:pt>
                <c:pt idx="630">
                  <c:v>45809</c:v>
                </c:pt>
                <c:pt idx="631">
                  <c:v>45839</c:v>
                </c:pt>
                <c:pt idx="632">
                  <c:v>45870</c:v>
                </c:pt>
                <c:pt idx="633">
                  <c:v>45901</c:v>
                </c:pt>
                <c:pt idx="634">
                  <c:v>45931</c:v>
                </c:pt>
                <c:pt idx="635">
                  <c:v>45962</c:v>
                </c:pt>
                <c:pt idx="636">
                  <c:v>45992</c:v>
                </c:pt>
              </c:numCache>
            </c:numRef>
          </c:cat>
          <c:val>
            <c:numRef>
              <c:f>'Monthly Data'!$C$11:$C$647</c:f>
              <c:numCache>
                <c:formatCode>General</c:formatCode>
                <c:ptCount val="637"/>
                <c:pt idx="1">
                  <c:v>1.166191</c:v>
                </c:pt>
                <c:pt idx="2">
                  <c:v>1.0505880000000001</c:v>
                </c:pt>
                <c:pt idx="3">
                  <c:v>1.046856</c:v>
                </c:pt>
                <c:pt idx="4">
                  <c:v>0.99897899999999995</c:v>
                </c:pt>
                <c:pt idx="5">
                  <c:v>1.014502</c:v>
                </c:pt>
                <c:pt idx="6">
                  <c:v>1.0500769999999999</c:v>
                </c:pt>
                <c:pt idx="7">
                  <c:v>1.110438</c:v>
                </c:pt>
                <c:pt idx="8">
                  <c:v>1.1356790000000001</c:v>
                </c:pt>
                <c:pt idx="9">
                  <c:v>1.0577319999999999</c:v>
                </c:pt>
                <c:pt idx="10">
                  <c:v>1.0831770000000001</c:v>
                </c:pt>
                <c:pt idx="11">
                  <c:v>1.0885899999999999</c:v>
                </c:pt>
                <c:pt idx="12">
                  <c:v>1.1686799999999999</c:v>
                </c:pt>
                <c:pt idx="13">
                  <c:v>1.145845</c:v>
                </c:pt>
                <c:pt idx="14">
                  <c:v>1.0364390000000001</c:v>
                </c:pt>
                <c:pt idx="15">
                  <c:v>1.0508010000000001</c:v>
                </c:pt>
                <c:pt idx="16">
                  <c:v>0.99496300000000004</c:v>
                </c:pt>
                <c:pt idx="17">
                  <c:v>1.0291809999999999</c:v>
                </c:pt>
                <c:pt idx="18">
                  <c:v>1.0144329999999999</c:v>
                </c:pt>
                <c:pt idx="19">
                  <c:v>1.110438</c:v>
                </c:pt>
                <c:pt idx="20">
                  <c:v>1.1125590000000001</c:v>
                </c:pt>
                <c:pt idx="21">
                  <c:v>1.0055080000000001</c:v>
                </c:pt>
                <c:pt idx="22">
                  <c:v>1.0517369999999999</c:v>
                </c:pt>
                <c:pt idx="23">
                  <c:v>1.0220210000000001</c:v>
                </c:pt>
                <c:pt idx="24">
                  <c:v>1.088954</c:v>
                </c:pt>
                <c:pt idx="25">
                  <c:v>1.1316580000000001</c:v>
                </c:pt>
                <c:pt idx="26">
                  <c:v>1.0388170000000001</c:v>
                </c:pt>
                <c:pt idx="27">
                  <c:v>1.0720080000000001</c:v>
                </c:pt>
                <c:pt idx="28">
                  <c:v>0.99643199999999998</c:v>
                </c:pt>
                <c:pt idx="29">
                  <c:v>0.97664300000000004</c:v>
                </c:pt>
                <c:pt idx="30">
                  <c:v>1.0219480000000001</c:v>
                </c:pt>
                <c:pt idx="31">
                  <c:v>1.0817019999999999</c:v>
                </c:pt>
                <c:pt idx="32">
                  <c:v>1.116476</c:v>
                </c:pt>
                <c:pt idx="33">
                  <c:v>1.00335</c:v>
                </c:pt>
                <c:pt idx="34">
                  <c:v>1.0208889999999999</c:v>
                </c:pt>
                <c:pt idx="35">
                  <c:v>1.0441290000000001</c:v>
                </c:pt>
                <c:pt idx="36">
                  <c:v>1.1587339999999999</c:v>
                </c:pt>
                <c:pt idx="37">
                  <c:v>1.201363</c:v>
                </c:pt>
                <c:pt idx="38">
                  <c:v>1.0635570000000001</c:v>
                </c:pt>
                <c:pt idx="39">
                  <c:v>1.1035470000000001</c:v>
                </c:pt>
                <c:pt idx="40">
                  <c:v>1.0540290000000001</c:v>
                </c:pt>
                <c:pt idx="41">
                  <c:v>1.060057</c:v>
                </c:pt>
                <c:pt idx="42">
                  <c:v>1.0988199999999999</c:v>
                </c:pt>
                <c:pt idx="43">
                  <c:v>1.1711130000000001</c:v>
                </c:pt>
                <c:pt idx="44">
                  <c:v>1.17987</c:v>
                </c:pt>
                <c:pt idx="45">
                  <c:v>1.081958</c:v>
                </c:pt>
                <c:pt idx="46">
                  <c:v>1.1194120000000001</c:v>
                </c:pt>
                <c:pt idx="47">
                  <c:v>1.176231</c:v>
                </c:pt>
                <c:pt idx="48">
                  <c:v>1.2741100000000001</c:v>
                </c:pt>
                <c:pt idx="49">
                  <c:v>1.2664329999999999</c:v>
                </c:pt>
                <c:pt idx="50">
                  <c:v>1.1217349999999999</c:v>
                </c:pt>
                <c:pt idx="51">
                  <c:v>1.1292199999999999</c:v>
                </c:pt>
                <c:pt idx="52">
                  <c:v>1.0412429999999999</c:v>
                </c:pt>
                <c:pt idx="53">
                  <c:v>1.1033869999999999</c:v>
                </c:pt>
                <c:pt idx="54">
                  <c:v>1.1620999999999999</c:v>
                </c:pt>
                <c:pt idx="55">
                  <c:v>1.2571190000000001</c:v>
                </c:pt>
                <c:pt idx="56">
                  <c:v>1.2310030000000001</c:v>
                </c:pt>
                <c:pt idx="57">
                  <c:v>1.135635</c:v>
                </c:pt>
                <c:pt idx="58">
                  <c:v>1.1275040000000001</c:v>
                </c:pt>
                <c:pt idx="59">
                  <c:v>1.139472</c:v>
                </c:pt>
                <c:pt idx="60">
                  <c:v>1.2072529999999999</c:v>
                </c:pt>
                <c:pt idx="61">
                  <c:v>1.195802</c:v>
                </c:pt>
                <c:pt idx="62">
                  <c:v>1.0015099999999999</c:v>
                </c:pt>
                <c:pt idx="63">
                  <c:v>0.95306199999999996</c:v>
                </c:pt>
                <c:pt idx="64">
                  <c:v>1.0190250000000001</c:v>
                </c:pt>
                <c:pt idx="65">
                  <c:v>1.088001</c:v>
                </c:pt>
                <c:pt idx="66">
                  <c:v>1.162388</c:v>
                </c:pt>
                <c:pt idx="67">
                  <c:v>1.237363</c:v>
                </c:pt>
                <c:pt idx="68">
                  <c:v>1.2782180000000001</c:v>
                </c:pt>
                <c:pt idx="69">
                  <c:v>1.211465</c:v>
                </c:pt>
                <c:pt idx="70">
                  <c:v>1.1669639999999999</c:v>
                </c:pt>
                <c:pt idx="71">
                  <c:v>1.170315</c:v>
                </c:pt>
                <c:pt idx="72">
                  <c:v>1.281463</c:v>
                </c:pt>
                <c:pt idx="73">
                  <c:v>1.352487</c:v>
                </c:pt>
                <c:pt idx="74">
                  <c:v>1.203643</c:v>
                </c:pt>
                <c:pt idx="75">
                  <c:v>1.2124999999999999</c:v>
                </c:pt>
                <c:pt idx="76">
                  <c:v>1.1403890000000001</c:v>
                </c:pt>
                <c:pt idx="77">
                  <c:v>1.19397</c:v>
                </c:pt>
                <c:pt idx="78">
                  <c:v>1.238154</c:v>
                </c:pt>
                <c:pt idx="79">
                  <c:v>1.3347830000000001</c:v>
                </c:pt>
                <c:pt idx="80">
                  <c:v>1.342578</c:v>
                </c:pt>
                <c:pt idx="81">
                  <c:v>1.1982489999999999</c:v>
                </c:pt>
                <c:pt idx="82">
                  <c:v>1.2313909999999999</c:v>
                </c:pt>
                <c:pt idx="83">
                  <c:v>1.2375320000000001</c:v>
                </c:pt>
                <c:pt idx="84">
                  <c:v>1.3539099999999999</c:v>
                </c:pt>
                <c:pt idx="85">
                  <c:v>1.3940410000000001</c:v>
                </c:pt>
                <c:pt idx="86">
                  <c:v>1.309761</c:v>
                </c:pt>
                <c:pt idx="87">
                  <c:v>1.291623</c:v>
                </c:pt>
                <c:pt idx="88">
                  <c:v>1.155186</c:v>
                </c:pt>
                <c:pt idx="89">
                  <c:v>1.15954</c:v>
                </c:pt>
                <c:pt idx="90">
                  <c:v>1.231174</c:v>
                </c:pt>
                <c:pt idx="91">
                  <c:v>1.3853420000000001</c:v>
                </c:pt>
                <c:pt idx="92">
                  <c:v>1.3772150000000001</c:v>
                </c:pt>
                <c:pt idx="93">
                  <c:v>1.2577020000000001</c:v>
                </c:pt>
                <c:pt idx="94">
                  <c:v>1.224097</c:v>
                </c:pt>
                <c:pt idx="95">
                  <c:v>1.2465660000000001</c:v>
                </c:pt>
                <c:pt idx="96">
                  <c:v>1.3905400000000001</c:v>
                </c:pt>
                <c:pt idx="97">
                  <c:v>1.4673659999999999</c:v>
                </c:pt>
                <c:pt idx="98">
                  <c:v>1.297021</c:v>
                </c:pt>
                <c:pt idx="99">
                  <c:v>1.3042830000000001</c:v>
                </c:pt>
                <c:pt idx="100">
                  <c:v>1.186599</c:v>
                </c:pt>
                <c:pt idx="101">
                  <c:v>1.1947680000000001</c:v>
                </c:pt>
                <c:pt idx="102">
                  <c:v>1.2959350000000001</c:v>
                </c:pt>
                <c:pt idx="103">
                  <c:v>1.4633309999999999</c:v>
                </c:pt>
                <c:pt idx="104">
                  <c:v>1.430796</c:v>
                </c:pt>
                <c:pt idx="105">
                  <c:v>1.2967139999999999</c:v>
                </c:pt>
                <c:pt idx="106">
                  <c:v>1.284573</c:v>
                </c:pt>
                <c:pt idx="107">
                  <c:v>1.27444</c:v>
                </c:pt>
                <c:pt idx="108">
                  <c:v>1.4117230000000001</c:v>
                </c:pt>
                <c:pt idx="109">
                  <c:v>1.4888410000000001</c:v>
                </c:pt>
                <c:pt idx="110">
                  <c:v>1.294926</c:v>
                </c:pt>
                <c:pt idx="111">
                  <c:v>1.2622100000000001</c:v>
                </c:pt>
                <c:pt idx="112">
                  <c:v>1.1546639999999999</c:v>
                </c:pt>
                <c:pt idx="113">
                  <c:v>1.1886810000000001</c:v>
                </c:pt>
                <c:pt idx="114">
                  <c:v>1.212642</c:v>
                </c:pt>
                <c:pt idx="115">
                  <c:v>1.3833979999999999</c:v>
                </c:pt>
                <c:pt idx="116">
                  <c:v>1.376905</c:v>
                </c:pt>
                <c:pt idx="117">
                  <c:v>1.22966</c:v>
                </c:pt>
                <c:pt idx="118">
                  <c:v>1.192804</c:v>
                </c:pt>
                <c:pt idx="119">
                  <c:v>1.2317549999999999</c:v>
                </c:pt>
                <c:pt idx="120">
                  <c:v>1.3050740000000001</c:v>
                </c:pt>
                <c:pt idx="121">
                  <c:v>1.3596870000000001</c:v>
                </c:pt>
                <c:pt idx="122">
                  <c:v>1.180042</c:v>
                </c:pt>
                <c:pt idx="123">
                  <c:v>1.196034</c:v>
                </c:pt>
                <c:pt idx="124">
                  <c:v>1.1395500000000001</c:v>
                </c:pt>
                <c:pt idx="125">
                  <c:v>1.1721760000000001</c:v>
                </c:pt>
                <c:pt idx="126">
                  <c:v>1.2565200000000001</c:v>
                </c:pt>
                <c:pt idx="127">
                  <c:v>1.499058</c:v>
                </c:pt>
                <c:pt idx="128">
                  <c:v>1.5738989999999999</c:v>
                </c:pt>
                <c:pt idx="129">
                  <c:v>1.3661110000000001</c:v>
                </c:pt>
                <c:pt idx="130">
                  <c:v>1.304357</c:v>
                </c:pt>
                <c:pt idx="131">
                  <c:v>1.325008</c:v>
                </c:pt>
                <c:pt idx="132">
                  <c:v>1.5219780000000001</c:v>
                </c:pt>
                <c:pt idx="133">
                  <c:v>1.5515209999999999</c:v>
                </c:pt>
                <c:pt idx="134">
                  <c:v>1.3589899999999999</c:v>
                </c:pt>
                <c:pt idx="135">
                  <c:v>1.402844</c:v>
                </c:pt>
                <c:pt idx="136">
                  <c:v>1.2716209999999999</c:v>
                </c:pt>
                <c:pt idx="137">
                  <c:v>1.2979419999999999</c:v>
                </c:pt>
                <c:pt idx="138">
                  <c:v>1.439065</c:v>
                </c:pt>
                <c:pt idx="139">
                  <c:v>1.51922</c:v>
                </c:pt>
                <c:pt idx="140">
                  <c:v>1.5868549999999999</c:v>
                </c:pt>
                <c:pt idx="141">
                  <c:v>1.3835440000000001</c:v>
                </c:pt>
                <c:pt idx="142">
                  <c:v>1.395014</c:v>
                </c:pt>
                <c:pt idx="143">
                  <c:v>1.393904</c:v>
                </c:pt>
                <c:pt idx="144">
                  <c:v>1.4701029999999999</c:v>
                </c:pt>
                <c:pt idx="145">
                  <c:v>1.599226</c:v>
                </c:pt>
                <c:pt idx="146">
                  <c:v>1.4053949999999999</c:v>
                </c:pt>
                <c:pt idx="147">
                  <c:v>1.3857440000000001</c:v>
                </c:pt>
                <c:pt idx="148">
                  <c:v>1.3194239999999999</c:v>
                </c:pt>
                <c:pt idx="149">
                  <c:v>1.3844449999999999</c:v>
                </c:pt>
                <c:pt idx="150">
                  <c:v>1.4310609999999999</c:v>
                </c:pt>
                <c:pt idx="151">
                  <c:v>1.584552</c:v>
                </c:pt>
                <c:pt idx="152">
                  <c:v>1.5618879999999999</c:v>
                </c:pt>
                <c:pt idx="153">
                  <c:v>1.424542</c:v>
                </c:pt>
                <c:pt idx="154">
                  <c:v>1.389491</c:v>
                </c:pt>
                <c:pt idx="155">
                  <c:v>1.385921</c:v>
                </c:pt>
                <c:pt idx="156">
                  <c:v>1.6067389999999999</c:v>
                </c:pt>
                <c:pt idx="157">
                  <c:v>1.628376</c:v>
                </c:pt>
                <c:pt idx="158">
                  <c:v>1.4126879999999999</c:v>
                </c:pt>
                <c:pt idx="159">
                  <c:v>1.385114</c:v>
                </c:pt>
                <c:pt idx="160">
                  <c:v>1.264564</c:v>
                </c:pt>
                <c:pt idx="161">
                  <c:v>1.32118</c:v>
                </c:pt>
                <c:pt idx="162">
                  <c:v>1.46356</c:v>
                </c:pt>
                <c:pt idx="163">
                  <c:v>1.64801</c:v>
                </c:pt>
                <c:pt idx="164">
                  <c:v>1.5150110000000001</c:v>
                </c:pt>
                <c:pt idx="165">
                  <c:v>1.401321</c:v>
                </c:pt>
                <c:pt idx="166">
                  <c:v>1.3559540000000001</c:v>
                </c:pt>
                <c:pt idx="167">
                  <c:v>1.366752</c:v>
                </c:pt>
                <c:pt idx="168">
                  <c:v>1.497876</c:v>
                </c:pt>
                <c:pt idx="169">
                  <c:v>1.5631569999999999</c:v>
                </c:pt>
                <c:pt idx="170">
                  <c:v>1.357526</c:v>
                </c:pt>
                <c:pt idx="171">
                  <c:v>1.372447</c:v>
                </c:pt>
                <c:pt idx="172">
                  <c:v>1.322692</c:v>
                </c:pt>
                <c:pt idx="173">
                  <c:v>1.4190560000000001</c:v>
                </c:pt>
                <c:pt idx="174">
                  <c:v>1.5536220000000001</c:v>
                </c:pt>
                <c:pt idx="175">
                  <c:v>1.731657</c:v>
                </c:pt>
                <c:pt idx="176">
                  <c:v>1.7199519999999999</c:v>
                </c:pt>
                <c:pt idx="177">
                  <c:v>1.484318</c:v>
                </c:pt>
                <c:pt idx="178">
                  <c:v>1.4480630000000001</c:v>
                </c:pt>
                <c:pt idx="179">
                  <c:v>1.433762</c:v>
                </c:pt>
                <c:pt idx="180">
                  <c:v>1.602198</c:v>
                </c:pt>
                <c:pt idx="181">
                  <c:v>1.6842140000000001</c:v>
                </c:pt>
                <c:pt idx="182">
                  <c:v>1.5391490000000001</c:v>
                </c:pt>
                <c:pt idx="183">
                  <c:v>1.4855799999999999</c:v>
                </c:pt>
                <c:pt idx="184">
                  <c:v>1.368241</c:v>
                </c:pt>
                <c:pt idx="185">
                  <c:v>1.4184540000000001</c:v>
                </c:pt>
                <c:pt idx="186">
                  <c:v>1.601226</c:v>
                </c:pt>
                <c:pt idx="187">
                  <c:v>1.7487649999999999</c:v>
                </c:pt>
                <c:pt idx="188">
                  <c:v>1.819299</c:v>
                </c:pt>
                <c:pt idx="189">
                  <c:v>1.522329</c:v>
                </c:pt>
                <c:pt idx="190">
                  <c:v>1.4982569999999999</c:v>
                </c:pt>
                <c:pt idx="191">
                  <c:v>1.493134</c:v>
                </c:pt>
                <c:pt idx="192">
                  <c:v>1.667662</c:v>
                </c:pt>
                <c:pt idx="193">
                  <c:v>1.6613610000000001</c:v>
                </c:pt>
                <c:pt idx="194">
                  <c:v>1.5704849999999999</c:v>
                </c:pt>
                <c:pt idx="195">
                  <c:v>1.5581769999999999</c:v>
                </c:pt>
                <c:pt idx="196">
                  <c:v>1.4210560000000001</c:v>
                </c:pt>
                <c:pt idx="197">
                  <c:v>1.4658279999999999</c:v>
                </c:pt>
                <c:pt idx="198">
                  <c:v>1.571761</c:v>
                </c:pt>
                <c:pt idx="199">
                  <c:v>1.705408</c:v>
                </c:pt>
                <c:pt idx="200">
                  <c:v>1.7173309999999999</c:v>
                </c:pt>
                <c:pt idx="201">
                  <c:v>1.5509470000000001</c:v>
                </c:pt>
                <c:pt idx="202">
                  <c:v>1.524699</c:v>
                </c:pt>
                <c:pt idx="203">
                  <c:v>1.5345139999999999</c:v>
                </c:pt>
                <c:pt idx="204">
                  <c:v>1.7881959999999999</c:v>
                </c:pt>
                <c:pt idx="205">
                  <c:v>1.6516169999999999</c:v>
                </c:pt>
                <c:pt idx="206">
                  <c:v>1.4655260000000001</c:v>
                </c:pt>
                <c:pt idx="207">
                  <c:v>1.5287329999999999</c:v>
                </c:pt>
                <c:pt idx="208">
                  <c:v>1.449803</c:v>
                </c:pt>
                <c:pt idx="209">
                  <c:v>1.4770730000000001</c:v>
                </c:pt>
                <c:pt idx="210">
                  <c:v>1.6049180000000001</c:v>
                </c:pt>
                <c:pt idx="211">
                  <c:v>1.740572</c:v>
                </c:pt>
                <c:pt idx="212">
                  <c:v>1.7764420000000001</c:v>
                </c:pt>
                <c:pt idx="213">
                  <c:v>1.639972</c:v>
                </c:pt>
                <c:pt idx="214">
                  <c:v>1.604968</c:v>
                </c:pt>
                <c:pt idx="215">
                  <c:v>1.535479</c:v>
                </c:pt>
                <c:pt idx="216">
                  <c:v>1.697532</c:v>
                </c:pt>
                <c:pt idx="217">
                  <c:v>1.7489680000000001</c:v>
                </c:pt>
                <c:pt idx="218">
                  <c:v>1.4607289999999999</c:v>
                </c:pt>
                <c:pt idx="219">
                  <c:v>1.480065</c:v>
                </c:pt>
                <c:pt idx="220">
                  <c:v>1.3731599999999999</c:v>
                </c:pt>
                <c:pt idx="221">
                  <c:v>1.4974350000000001</c:v>
                </c:pt>
                <c:pt idx="222">
                  <c:v>1.5962780000000001</c:v>
                </c:pt>
                <c:pt idx="223">
                  <c:v>1.7382029999999999</c:v>
                </c:pt>
                <c:pt idx="224">
                  <c:v>1.737679</c:v>
                </c:pt>
                <c:pt idx="225">
                  <c:v>1.5764689999999999</c:v>
                </c:pt>
                <c:pt idx="226">
                  <c:v>1.540673</c:v>
                </c:pt>
                <c:pt idx="227">
                  <c:v>1.5881749999999999</c:v>
                </c:pt>
                <c:pt idx="228">
                  <c:v>1.653837</c:v>
                </c:pt>
                <c:pt idx="229">
                  <c:v>1.674804</c:v>
                </c:pt>
                <c:pt idx="230">
                  <c:v>1.4960929999999999</c:v>
                </c:pt>
                <c:pt idx="231">
                  <c:v>1.55524</c:v>
                </c:pt>
                <c:pt idx="232">
                  <c:v>1.4526589999999999</c:v>
                </c:pt>
                <c:pt idx="233">
                  <c:v>1.4876959999999999</c:v>
                </c:pt>
                <c:pt idx="234">
                  <c:v>1.560214</c:v>
                </c:pt>
                <c:pt idx="235">
                  <c:v>1.780586</c:v>
                </c:pt>
                <c:pt idx="236">
                  <c:v>1.708952</c:v>
                </c:pt>
                <c:pt idx="237">
                  <c:v>1.604886</c:v>
                </c:pt>
                <c:pt idx="238">
                  <c:v>1.551277</c:v>
                </c:pt>
                <c:pt idx="239">
                  <c:v>1.549587</c:v>
                </c:pt>
                <c:pt idx="240">
                  <c:v>1.7004779999999999</c:v>
                </c:pt>
                <c:pt idx="241">
                  <c:v>1.6947319999999999</c:v>
                </c:pt>
                <c:pt idx="242">
                  <c:v>1.571442</c:v>
                </c:pt>
                <c:pt idx="243">
                  <c:v>1.642407</c:v>
                </c:pt>
                <c:pt idx="244">
                  <c:v>1.4717100000000001</c:v>
                </c:pt>
                <c:pt idx="245">
                  <c:v>1.4777769999999999</c:v>
                </c:pt>
                <c:pt idx="246">
                  <c:v>1.6518299999999999</c:v>
                </c:pt>
                <c:pt idx="247">
                  <c:v>1.879354</c:v>
                </c:pt>
                <c:pt idx="248">
                  <c:v>1.8616539999999999</c:v>
                </c:pt>
                <c:pt idx="249">
                  <c:v>1.6133219999999999</c:v>
                </c:pt>
                <c:pt idx="250">
                  <c:v>1.598503</c:v>
                </c:pt>
                <c:pt idx="251">
                  <c:v>1.616403</c:v>
                </c:pt>
                <c:pt idx="252">
                  <c:v>1.756016</c:v>
                </c:pt>
                <c:pt idx="253">
                  <c:v>1.8501669999999999</c:v>
                </c:pt>
                <c:pt idx="254">
                  <c:v>1.6095219999999999</c:v>
                </c:pt>
                <c:pt idx="255">
                  <c:v>1.625221</c:v>
                </c:pt>
                <c:pt idx="256">
                  <c:v>1.4766619999999999</c:v>
                </c:pt>
                <c:pt idx="257">
                  <c:v>1.5428820000000001</c:v>
                </c:pt>
                <c:pt idx="258">
                  <c:v>1.7566269999999999</c:v>
                </c:pt>
                <c:pt idx="259">
                  <c:v>1.8337509999999999</c:v>
                </c:pt>
                <c:pt idx="260">
                  <c:v>1.815447</c:v>
                </c:pt>
                <c:pt idx="261">
                  <c:v>1.6136109999999999</c:v>
                </c:pt>
                <c:pt idx="262">
                  <c:v>1.579331</c:v>
                </c:pt>
                <c:pt idx="263">
                  <c:v>1.531004</c:v>
                </c:pt>
                <c:pt idx="264">
                  <c:v>1.675238</c:v>
                </c:pt>
                <c:pt idx="265">
                  <c:v>1.734081</c:v>
                </c:pt>
                <c:pt idx="266">
                  <c:v>1.564076</c:v>
                </c:pt>
                <c:pt idx="267">
                  <c:v>1.5623800000000001</c:v>
                </c:pt>
                <c:pt idx="268">
                  <c:v>1.4515279999999999</c:v>
                </c:pt>
                <c:pt idx="269">
                  <c:v>1.525782</c:v>
                </c:pt>
                <c:pt idx="270">
                  <c:v>1.6661550000000001</c:v>
                </c:pt>
                <c:pt idx="271">
                  <c:v>1.8927320000000001</c:v>
                </c:pt>
                <c:pt idx="272">
                  <c:v>1.9841359999999999</c:v>
                </c:pt>
                <c:pt idx="273">
                  <c:v>1.663762</c:v>
                </c:pt>
                <c:pt idx="274">
                  <c:v>1.615666</c:v>
                </c:pt>
                <c:pt idx="275">
                  <c:v>1.642728</c:v>
                </c:pt>
                <c:pt idx="276">
                  <c:v>1.785701</c:v>
                </c:pt>
                <c:pt idx="277">
                  <c:v>1.8463309999999999</c:v>
                </c:pt>
                <c:pt idx="278">
                  <c:v>1.6742980000000001</c:v>
                </c:pt>
                <c:pt idx="279">
                  <c:v>1.6762630000000001</c:v>
                </c:pt>
                <c:pt idx="280">
                  <c:v>1.51701</c:v>
                </c:pt>
                <c:pt idx="281">
                  <c:v>1.6247609999999999</c:v>
                </c:pt>
                <c:pt idx="282">
                  <c:v>1.754707</c:v>
                </c:pt>
                <c:pt idx="283">
                  <c:v>1.9036770000000001</c:v>
                </c:pt>
                <c:pt idx="284">
                  <c:v>1.9236200000000001</c:v>
                </c:pt>
                <c:pt idx="285">
                  <c:v>1.719606</c:v>
                </c:pt>
                <c:pt idx="286">
                  <c:v>1.722898</c:v>
                </c:pt>
                <c:pt idx="287">
                  <c:v>1.770365</c:v>
                </c:pt>
                <c:pt idx="288">
                  <c:v>1.868379</c:v>
                </c:pt>
                <c:pt idx="289">
                  <c:v>1.9310050000000001</c:v>
                </c:pt>
                <c:pt idx="290">
                  <c:v>1.642436</c:v>
                </c:pt>
                <c:pt idx="291">
                  <c:v>1.6744509999999999</c:v>
                </c:pt>
                <c:pt idx="292">
                  <c:v>1.5950089999999999</c:v>
                </c:pt>
                <c:pt idx="293">
                  <c:v>1.6294470000000001</c:v>
                </c:pt>
                <c:pt idx="294">
                  <c:v>1.744437</c:v>
                </c:pt>
                <c:pt idx="295">
                  <c:v>1.9885139999999999</c:v>
                </c:pt>
                <c:pt idx="296">
                  <c:v>1.941613</c:v>
                </c:pt>
                <c:pt idx="297">
                  <c:v>1.8061640000000001</c:v>
                </c:pt>
                <c:pt idx="298">
                  <c:v>1.812595</c:v>
                </c:pt>
                <c:pt idx="299">
                  <c:v>1.7592719999999999</c:v>
                </c:pt>
                <c:pt idx="300">
                  <c:v>1.9204680000000001</c:v>
                </c:pt>
                <c:pt idx="301">
                  <c:v>1.891535</c:v>
                </c:pt>
                <c:pt idx="302">
                  <c:v>1.660188</c:v>
                </c:pt>
                <c:pt idx="303">
                  <c:v>1.7223839999999999</c:v>
                </c:pt>
                <c:pt idx="304">
                  <c:v>1.6023449999999999</c:v>
                </c:pt>
                <c:pt idx="305">
                  <c:v>1.7376529999999999</c:v>
                </c:pt>
                <c:pt idx="306">
                  <c:v>1.8657060000000001</c:v>
                </c:pt>
                <c:pt idx="307">
                  <c:v>2.0423770000000001</c:v>
                </c:pt>
                <c:pt idx="308">
                  <c:v>2.0395810000000001</c:v>
                </c:pt>
                <c:pt idx="309">
                  <c:v>1.841326</c:v>
                </c:pt>
                <c:pt idx="310">
                  <c:v>1.7516799999999999</c:v>
                </c:pt>
                <c:pt idx="311">
                  <c:v>1.6662980000000001</c:v>
                </c:pt>
                <c:pt idx="312">
                  <c:v>1.83467</c:v>
                </c:pt>
                <c:pt idx="313">
                  <c:v>1.8994040000000001</c:v>
                </c:pt>
                <c:pt idx="314">
                  <c:v>1.64394</c:v>
                </c:pt>
                <c:pt idx="315">
                  <c:v>1.7205410000000001</c:v>
                </c:pt>
                <c:pt idx="316">
                  <c:v>1.6370549999999999</c:v>
                </c:pt>
                <c:pt idx="317">
                  <c:v>1.7113309999999999</c:v>
                </c:pt>
                <c:pt idx="318">
                  <c:v>1.8387089999999999</c:v>
                </c:pt>
                <c:pt idx="319">
                  <c:v>2.0793089999999999</c:v>
                </c:pt>
                <c:pt idx="320">
                  <c:v>2.0164840000000002</c:v>
                </c:pt>
                <c:pt idx="321">
                  <c:v>1.8138479999999999</c:v>
                </c:pt>
                <c:pt idx="322">
                  <c:v>1.743987</c:v>
                </c:pt>
                <c:pt idx="323">
                  <c:v>1.6890540000000001</c:v>
                </c:pt>
                <c:pt idx="324">
                  <c:v>1.828883</c:v>
                </c:pt>
                <c:pt idx="325">
                  <c:v>2.021217</c:v>
                </c:pt>
                <c:pt idx="326">
                  <c:v>1.8334779999999999</c:v>
                </c:pt>
                <c:pt idx="327">
                  <c:v>1.7991090000000001</c:v>
                </c:pt>
                <c:pt idx="328">
                  <c:v>1.629003</c:v>
                </c:pt>
                <c:pt idx="329">
                  <c:v>1.776114</c:v>
                </c:pt>
                <c:pt idx="330">
                  <c:v>1.9281980000000001</c:v>
                </c:pt>
                <c:pt idx="331">
                  <c:v>2.0082260000000001</c:v>
                </c:pt>
                <c:pt idx="332">
                  <c:v>2.078449</c:v>
                </c:pt>
                <c:pt idx="333">
                  <c:v>1.8547210000000001</c:v>
                </c:pt>
                <c:pt idx="334">
                  <c:v>1.839302</c:v>
                </c:pt>
                <c:pt idx="335">
                  <c:v>1.826174</c:v>
                </c:pt>
                <c:pt idx="336">
                  <c:v>1.985538</c:v>
                </c:pt>
                <c:pt idx="337">
                  <c:v>2.0029490000000001</c:v>
                </c:pt>
                <c:pt idx="338">
                  <c:v>1.7316560000000001</c:v>
                </c:pt>
                <c:pt idx="339">
                  <c:v>1.788025</c:v>
                </c:pt>
                <c:pt idx="340">
                  <c:v>1.6200190000000001</c:v>
                </c:pt>
                <c:pt idx="341">
                  <c:v>1.7488669999999999</c:v>
                </c:pt>
                <c:pt idx="342">
                  <c:v>1.8608990000000001</c:v>
                </c:pt>
                <c:pt idx="343">
                  <c:v>2.0496650000000001</c:v>
                </c:pt>
                <c:pt idx="344">
                  <c:v>2.0899489999999998</c:v>
                </c:pt>
                <c:pt idx="345">
                  <c:v>1.792281</c:v>
                </c:pt>
                <c:pt idx="346">
                  <c:v>1.726261</c:v>
                </c:pt>
                <c:pt idx="347">
                  <c:v>1.6746289999999999</c:v>
                </c:pt>
                <c:pt idx="348">
                  <c:v>1.8290690000000001</c:v>
                </c:pt>
                <c:pt idx="349">
                  <c:v>1.8487659999999999</c:v>
                </c:pt>
                <c:pt idx="350">
                  <c:v>1.634422</c:v>
                </c:pt>
                <c:pt idx="351">
                  <c:v>1.713009</c:v>
                </c:pt>
                <c:pt idx="352">
                  <c:v>1.6163369999999999</c:v>
                </c:pt>
                <c:pt idx="353">
                  <c:v>1.718424</c:v>
                </c:pt>
                <c:pt idx="354">
                  <c:v>1.8612880000000001</c:v>
                </c:pt>
                <c:pt idx="355">
                  <c:v>2.0536340000000002</c:v>
                </c:pt>
                <c:pt idx="356">
                  <c:v>2.0338120000000002</c:v>
                </c:pt>
                <c:pt idx="357">
                  <c:v>1.875494</c:v>
                </c:pt>
                <c:pt idx="358">
                  <c:v>1.8172470000000001</c:v>
                </c:pt>
                <c:pt idx="359">
                  <c:v>1.7873889999999999</c:v>
                </c:pt>
                <c:pt idx="360">
                  <c:v>1.9441679999999999</c:v>
                </c:pt>
                <c:pt idx="361">
                  <c:v>2.0188449999999998</c:v>
                </c:pt>
                <c:pt idx="362">
                  <c:v>1.7743169999999999</c:v>
                </c:pt>
                <c:pt idx="363">
                  <c:v>1.756996</c:v>
                </c:pt>
                <c:pt idx="364">
                  <c:v>1.616938</c:v>
                </c:pt>
                <c:pt idx="365">
                  <c:v>1.7102489999999999</c:v>
                </c:pt>
                <c:pt idx="366">
                  <c:v>1.8451789999999999</c:v>
                </c:pt>
                <c:pt idx="367">
                  <c:v>2.0464579999999999</c:v>
                </c:pt>
                <c:pt idx="368">
                  <c:v>2.0768580000000001</c:v>
                </c:pt>
                <c:pt idx="369">
                  <c:v>1.8656060000000001</c:v>
                </c:pt>
                <c:pt idx="370">
                  <c:v>1.8021069999999999</c:v>
                </c:pt>
                <c:pt idx="371">
                  <c:v>1.813367</c:v>
                </c:pt>
                <c:pt idx="372">
                  <c:v>1.9940070000000001</c:v>
                </c:pt>
                <c:pt idx="373">
                  <c:v>2.025102</c:v>
                </c:pt>
                <c:pt idx="374">
                  <c:v>1.830837</c:v>
                </c:pt>
                <c:pt idx="375">
                  <c:v>1.7464789999999999</c:v>
                </c:pt>
                <c:pt idx="376">
                  <c:v>1.6160000000000001</c:v>
                </c:pt>
                <c:pt idx="377">
                  <c:v>1.7793190000000001</c:v>
                </c:pt>
                <c:pt idx="378">
                  <c:v>1.886474</c:v>
                </c:pt>
                <c:pt idx="379">
                  <c:v>2.0424630000000001</c:v>
                </c:pt>
                <c:pt idx="380">
                  <c:v>2.0151859999999999</c:v>
                </c:pt>
                <c:pt idx="381">
                  <c:v>1.8777999999999999</c:v>
                </c:pt>
                <c:pt idx="382">
                  <c:v>1.80633</c:v>
                </c:pt>
                <c:pt idx="383">
                  <c:v>1.819334</c:v>
                </c:pt>
                <c:pt idx="384">
                  <c:v>2.0208719999999998</c:v>
                </c:pt>
                <c:pt idx="385">
                  <c:v>2.012518</c:v>
                </c:pt>
                <c:pt idx="386">
                  <c:v>1.77599</c:v>
                </c:pt>
                <c:pt idx="387">
                  <c:v>1.845437</c:v>
                </c:pt>
                <c:pt idx="388">
                  <c:v>1.637086</c:v>
                </c:pt>
                <c:pt idx="389">
                  <c:v>1.748602</c:v>
                </c:pt>
                <c:pt idx="390">
                  <c:v>1.9538279999999999</c:v>
                </c:pt>
                <c:pt idx="391">
                  <c:v>2.0940189999999999</c:v>
                </c:pt>
                <c:pt idx="392">
                  <c:v>2.1167090000000002</c:v>
                </c:pt>
                <c:pt idx="393">
                  <c:v>1.93733</c:v>
                </c:pt>
                <c:pt idx="394">
                  <c:v>1.851885</c:v>
                </c:pt>
                <c:pt idx="395">
                  <c:v>1.802265</c:v>
                </c:pt>
                <c:pt idx="396">
                  <c:v>2.0208750000000002</c:v>
                </c:pt>
                <c:pt idx="397">
                  <c:v>1.909554</c:v>
                </c:pt>
                <c:pt idx="398">
                  <c:v>1.780597</c:v>
                </c:pt>
                <c:pt idx="399">
                  <c:v>1.8138099999999999</c:v>
                </c:pt>
                <c:pt idx="400">
                  <c:v>1.602757</c:v>
                </c:pt>
                <c:pt idx="401">
                  <c:v>1.7656430000000001</c:v>
                </c:pt>
                <c:pt idx="402">
                  <c:v>1.903022</c:v>
                </c:pt>
                <c:pt idx="403">
                  <c:v>2.1017579999999998</c:v>
                </c:pt>
                <c:pt idx="404">
                  <c:v>2.123005</c:v>
                </c:pt>
                <c:pt idx="405">
                  <c:v>1.8432090000000001</c:v>
                </c:pt>
                <c:pt idx="406">
                  <c:v>1.84049</c:v>
                </c:pt>
                <c:pt idx="407">
                  <c:v>1.807172</c:v>
                </c:pt>
                <c:pt idx="408">
                  <c:v>1.956143</c:v>
                </c:pt>
                <c:pt idx="409">
                  <c:v>1.991341</c:v>
                </c:pt>
                <c:pt idx="410">
                  <c:v>1.834678</c:v>
                </c:pt>
                <c:pt idx="411">
                  <c:v>1.795345</c:v>
                </c:pt>
                <c:pt idx="412">
                  <c:v>1.664669</c:v>
                </c:pt>
                <c:pt idx="413">
                  <c:v>1.774994</c:v>
                </c:pt>
                <c:pt idx="414">
                  <c:v>1.9473259999999999</c:v>
                </c:pt>
                <c:pt idx="415">
                  <c:v>2.0829970000000002</c:v>
                </c:pt>
                <c:pt idx="416">
                  <c:v>2.1335060000000001</c:v>
                </c:pt>
                <c:pt idx="417">
                  <c:v>1.9078189999999999</c:v>
                </c:pt>
                <c:pt idx="418">
                  <c:v>1.831655</c:v>
                </c:pt>
                <c:pt idx="419">
                  <c:v>1.8012189999999999</c:v>
                </c:pt>
                <c:pt idx="420">
                  <c:v>1.983916</c:v>
                </c:pt>
                <c:pt idx="421">
                  <c:v>2.0256439999999998</c:v>
                </c:pt>
                <c:pt idx="422">
                  <c:v>1.8668720000000001</c:v>
                </c:pt>
                <c:pt idx="423">
                  <c:v>1.801188</c:v>
                </c:pt>
                <c:pt idx="424">
                  <c:v>1.667478</c:v>
                </c:pt>
                <c:pt idx="425">
                  <c:v>1.754297</c:v>
                </c:pt>
                <c:pt idx="426">
                  <c:v>1.918698</c:v>
                </c:pt>
                <c:pt idx="427">
                  <c:v>2.0922749999999999</c:v>
                </c:pt>
                <c:pt idx="428">
                  <c:v>2.0456470000000002</c:v>
                </c:pt>
                <c:pt idx="429">
                  <c:v>1.8362449999999999</c:v>
                </c:pt>
                <c:pt idx="430">
                  <c:v>1.736712</c:v>
                </c:pt>
                <c:pt idx="431">
                  <c:v>1.7411430000000001</c:v>
                </c:pt>
                <c:pt idx="432">
                  <c:v>1.9012370000000001</c:v>
                </c:pt>
                <c:pt idx="433">
                  <c:v>1.9039919999999999</c:v>
                </c:pt>
                <c:pt idx="434">
                  <c:v>1.5816589999999999</c:v>
                </c:pt>
                <c:pt idx="435">
                  <c:v>1.5361260000000001</c:v>
                </c:pt>
                <c:pt idx="436">
                  <c:v>1.4217310000000001</c:v>
                </c:pt>
                <c:pt idx="437">
                  <c:v>1.4857880000000001</c:v>
                </c:pt>
                <c:pt idx="438">
                  <c:v>1.654827</c:v>
                </c:pt>
                <c:pt idx="439">
                  <c:v>1.7595890000000001</c:v>
                </c:pt>
                <c:pt idx="440">
                  <c:v>1.810859</c:v>
                </c:pt>
                <c:pt idx="441">
                  <c:v>1.5547359999999999</c:v>
                </c:pt>
                <c:pt idx="442">
                  <c:v>1.579969</c:v>
                </c:pt>
                <c:pt idx="443">
                  <c:v>1.549706</c:v>
                </c:pt>
                <c:pt idx="444">
                  <c:v>1.8522240000000001</c:v>
                </c:pt>
                <c:pt idx="445">
                  <c:v>1.9173309999999999</c:v>
                </c:pt>
                <c:pt idx="446">
                  <c:v>1.7088410000000001</c:v>
                </c:pt>
                <c:pt idx="447">
                  <c:v>1.6381650000000001</c:v>
                </c:pt>
                <c:pt idx="448">
                  <c:v>1.446342</c:v>
                </c:pt>
                <c:pt idx="449">
                  <c:v>1.6208050000000001</c:v>
                </c:pt>
                <c:pt idx="450">
                  <c:v>1.8475809999999999</c:v>
                </c:pt>
                <c:pt idx="451">
                  <c:v>1.9985679999999999</c:v>
                </c:pt>
                <c:pt idx="452">
                  <c:v>1.99481</c:v>
                </c:pt>
                <c:pt idx="453">
                  <c:v>1.696615</c:v>
                </c:pt>
                <c:pt idx="454">
                  <c:v>1.52186</c:v>
                </c:pt>
                <c:pt idx="455">
                  <c:v>1.5637129999999999</c:v>
                </c:pt>
                <c:pt idx="456">
                  <c:v>1.8793390000000001</c:v>
                </c:pt>
                <c:pt idx="457">
                  <c:v>1.88754</c:v>
                </c:pt>
                <c:pt idx="458">
                  <c:v>1.5597049999999999</c:v>
                </c:pt>
                <c:pt idx="459">
                  <c:v>1.5438320000000001</c:v>
                </c:pt>
                <c:pt idx="460">
                  <c:v>1.4209449999999999</c:v>
                </c:pt>
                <c:pt idx="461">
                  <c:v>1.550327</c:v>
                </c:pt>
                <c:pt idx="462">
                  <c:v>1.7571760000000001</c:v>
                </c:pt>
                <c:pt idx="463">
                  <c:v>1.9525159999999999</c:v>
                </c:pt>
                <c:pt idx="464">
                  <c:v>1.9161440000000001</c:v>
                </c:pt>
                <c:pt idx="465">
                  <c:v>1.6138840000000001</c:v>
                </c:pt>
                <c:pt idx="466">
                  <c:v>1.475112</c:v>
                </c:pt>
                <c:pt idx="467">
                  <c:v>1.4250560000000001</c:v>
                </c:pt>
                <c:pt idx="468">
                  <c:v>1.5555479999999999</c:v>
                </c:pt>
                <c:pt idx="469">
                  <c:v>1.4910429999999999</c:v>
                </c:pt>
                <c:pt idx="470">
                  <c:v>1.338104</c:v>
                </c:pt>
                <c:pt idx="471">
                  <c:v>1.2327360000000001</c:v>
                </c:pt>
                <c:pt idx="472">
                  <c:v>1.1120270000000001</c:v>
                </c:pt>
                <c:pt idx="473">
                  <c:v>1.3292790000000001</c:v>
                </c:pt>
                <c:pt idx="474">
                  <c:v>1.4978929999999999</c:v>
                </c:pt>
                <c:pt idx="475">
                  <c:v>1.7899890000000001</c:v>
                </c:pt>
                <c:pt idx="476">
                  <c:v>1.718283</c:v>
                </c:pt>
                <c:pt idx="477">
                  <c:v>1.455586</c:v>
                </c:pt>
                <c:pt idx="478">
                  <c:v>1.402746</c:v>
                </c:pt>
                <c:pt idx="479">
                  <c:v>1.472029</c:v>
                </c:pt>
                <c:pt idx="480">
                  <c:v>1.5385200000000001</c:v>
                </c:pt>
                <c:pt idx="481">
                  <c:v>1.572497</c:v>
                </c:pt>
                <c:pt idx="482">
                  <c:v>1.4144099999999999</c:v>
                </c:pt>
                <c:pt idx="483">
                  <c:v>1.4813149999999999</c:v>
                </c:pt>
                <c:pt idx="484">
                  <c:v>1.2870699999999999</c:v>
                </c:pt>
                <c:pt idx="485">
                  <c:v>1.3636729999999999</c:v>
                </c:pt>
                <c:pt idx="486">
                  <c:v>1.564343</c:v>
                </c:pt>
                <c:pt idx="487">
                  <c:v>1.722982</c:v>
                </c:pt>
                <c:pt idx="488">
                  <c:v>1.700671</c:v>
                </c:pt>
                <c:pt idx="489">
                  <c:v>1.5200940000000001</c:v>
                </c:pt>
                <c:pt idx="490">
                  <c:v>1.4015059999999999</c:v>
                </c:pt>
                <c:pt idx="491">
                  <c:v>1.393993</c:v>
                </c:pt>
                <c:pt idx="492">
                  <c:v>1.616079</c:v>
                </c:pt>
                <c:pt idx="493">
                  <c:v>1.74661</c:v>
                </c:pt>
                <c:pt idx="494">
                  <c:v>1.599885</c:v>
                </c:pt>
                <c:pt idx="495">
                  <c:v>1.52349</c:v>
                </c:pt>
                <c:pt idx="496">
                  <c:v>1.239603</c:v>
                </c:pt>
                <c:pt idx="497">
                  <c:v>1.356781</c:v>
                </c:pt>
                <c:pt idx="498">
                  <c:v>1.558821</c:v>
                </c:pt>
                <c:pt idx="499">
                  <c:v>1.70228</c:v>
                </c:pt>
                <c:pt idx="500">
                  <c:v>1.6935500000000001</c:v>
                </c:pt>
                <c:pt idx="501">
                  <c:v>1.456971</c:v>
                </c:pt>
                <c:pt idx="502">
                  <c:v>1.3040130000000001</c:v>
                </c:pt>
                <c:pt idx="503">
                  <c:v>1.3758049999999999</c:v>
                </c:pt>
                <c:pt idx="504">
                  <c:v>1.439824</c:v>
                </c:pt>
                <c:pt idx="505">
                  <c:v>1.498062</c:v>
                </c:pt>
                <c:pt idx="506">
                  <c:v>1.4088909999999999</c:v>
                </c:pt>
                <c:pt idx="507">
                  <c:v>1.238275</c:v>
                </c:pt>
                <c:pt idx="508">
                  <c:v>1.0365869999999999</c:v>
                </c:pt>
                <c:pt idx="509">
                  <c:v>1.206388</c:v>
                </c:pt>
                <c:pt idx="510">
                  <c:v>1.4386460000000001</c:v>
                </c:pt>
                <c:pt idx="511">
                  <c:v>1.5867880000000001</c:v>
                </c:pt>
                <c:pt idx="512">
                  <c:v>1.5307869999999999</c:v>
                </c:pt>
                <c:pt idx="513">
                  <c:v>1.351456</c:v>
                </c:pt>
                <c:pt idx="514">
                  <c:v>1.137837</c:v>
                </c:pt>
                <c:pt idx="515">
                  <c:v>1.0450140000000001</c:v>
                </c:pt>
                <c:pt idx="516">
                  <c:v>1.0701369999999999</c:v>
                </c:pt>
                <c:pt idx="517">
                  <c:v>1.29718</c:v>
                </c:pt>
                <c:pt idx="518">
                  <c:v>1.0743450000000001</c:v>
                </c:pt>
                <c:pt idx="519">
                  <c:v>0.86737699999999995</c:v>
                </c:pt>
                <c:pt idx="520">
                  <c:v>0.84420399999999995</c:v>
                </c:pt>
                <c:pt idx="521">
                  <c:v>0.96016400000000002</c:v>
                </c:pt>
                <c:pt idx="522">
                  <c:v>1.314479</c:v>
                </c:pt>
                <c:pt idx="523">
                  <c:v>1.5288649999999999</c:v>
                </c:pt>
                <c:pt idx="524">
                  <c:v>1.5211980000000001</c:v>
                </c:pt>
                <c:pt idx="525">
                  <c:v>1.2962590000000001</c:v>
                </c:pt>
                <c:pt idx="526">
                  <c:v>1.1471610000000001</c:v>
                </c:pt>
                <c:pt idx="527">
                  <c:v>1.0222439999999999</c:v>
                </c:pt>
                <c:pt idx="528">
                  <c:v>1.352427</c:v>
                </c:pt>
                <c:pt idx="529">
                  <c:v>1.3127120000000001</c:v>
                </c:pt>
                <c:pt idx="530">
                  <c:v>1.011109</c:v>
                </c:pt>
                <c:pt idx="531">
                  <c:v>1.0293369999999999</c:v>
                </c:pt>
                <c:pt idx="532">
                  <c:v>0.93745900000000004</c:v>
                </c:pt>
                <c:pt idx="533">
                  <c:v>1.065558</c:v>
                </c:pt>
                <c:pt idx="534">
                  <c:v>1.217991</c:v>
                </c:pt>
                <c:pt idx="535">
                  <c:v>1.4325490000000001</c:v>
                </c:pt>
                <c:pt idx="536">
                  <c:v>1.3556330000000001</c:v>
                </c:pt>
                <c:pt idx="537">
                  <c:v>1.1396379999999999</c:v>
                </c:pt>
                <c:pt idx="538">
                  <c:v>1.050775</c:v>
                </c:pt>
                <c:pt idx="539">
                  <c:v>1.0685610000000001</c:v>
                </c:pt>
                <c:pt idx="540">
                  <c:v>1.216143</c:v>
                </c:pt>
                <c:pt idx="541">
                  <c:v>1.3336889999999999</c:v>
                </c:pt>
                <c:pt idx="542">
                  <c:v>0.96338100000000004</c:v>
                </c:pt>
                <c:pt idx="543">
                  <c:v>0.941137</c:v>
                </c:pt>
                <c:pt idx="544">
                  <c:v>0.86263199999999995</c:v>
                </c:pt>
                <c:pt idx="545">
                  <c:v>0.99320399999999998</c:v>
                </c:pt>
                <c:pt idx="546">
                  <c:v>1.160101</c:v>
                </c:pt>
                <c:pt idx="547">
                  <c:v>1.311145</c:v>
                </c:pt>
                <c:pt idx="548">
                  <c:v>1.3090889999999999</c:v>
                </c:pt>
                <c:pt idx="549">
                  <c:v>1.120034</c:v>
                </c:pt>
                <c:pt idx="550">
                  <c:v>1.0170380000000001</c:v>
                </c:pt>
                <c:pt idx="551">
                  <c:v>1.081731</c:v>
                </c:pt>
                <c:pt idx="552">
                  <c:v>1.1583509999999999</c:v>
                </c:pt>
                <c:pt idx="553">
                  <c:v>1.1613549999999999</c:v>
                </c:pt>
                <c:pt idx="554">
                  <c:v>0.94916199999999995</c:v>
                </c:pt>
                <c:pt idx="555">
                  <c:v>0.93272699999999997</c:v>
                </c:pt>
                <c:pt idx="556">
                  <c:v>0.71924900000000003</c:v>
                </c:pt>
                <c:pt idx="557">
                  <c:v>0.85000900000000001</c:v>
                </c:pt>
                <c:pt idx="558">
                  <c:v>0.931168</c:v>
                </c:pt>
                <c:pt idx="559">
                  <c:v>1.1536999999999999</c:v>
                </c:pt>
                <c:pt idx="560">
                  <c:v>1.086347</c:v>
                </c:pt>
                <c:pt idx="561">
                  <c:v>0.98607800000000001</c:v>
                </c:pt>
                <c:pt idx="562">
                  <c:v>0.80095799999999995</c:v>
                </c:pt>
                <c:pt idx="563">
                  <c:v>0.88490800000000003</c:v>
                </c:pt>
                <c:pt idx="564">
                  <c:v>0.85993699999999995</c:v>
                </c:pt>
                <c:pt idx="565">
                  <c:v>0.78525400000000001</c:v>
                </c:pt>
                <c:pt idx="566">
                  <c:v>0.69358500000000001</c:v>
                </c:pt>
                <c:pt idx="567">
                  <c:v>0.63255300000000003</c:v>
                </c:pt>
                <c:pt idx="568">
                  <c:v>0.51528499999999999</c:v>
                </c:pt>
                <c:pt idx="569">
                  <c:v>0.57362999999999997</c:v>
                </c:pt>
                <c:pt idx="570">
                  <c:v>0.76650799999999997</c:v>
                </c:pt>
                <c:pt idx="571">
                  <c:v>1.017936</c:v>
                </c:pt>
                <c:pt idx="572">
                  <c:v>1.032535</c:v>
                </c:pt>
                <c:pt idx="573">
                  <c:v>0.80560200000000004</c:v>
                </c:pt>
                <c:pt idx="574">
                  <c:v>0.72018000000000004</c:v>
                </c:pt>
                <c:pt idx="575">
                  <c:v>0.72945000000000004</c:v>
                </c:pt>
                <c:pt idx="576">
                  <c:v>0.90859100000000004</c:v>
                </c:pt>
                <c:pt idx="577">
                  <c:v>0.94740800000000003</c:v>
                </c:pt>
                <c:pt idx="578">
                  <c:v>0.99594700000000003</c:v>
                </c:pt>
                <c:pt idx="579">
                  <c:v>0.74097199999999996</c:v>
                </c:pt>
                <c:pt idx="580">
                  <c:v>0.65017499999999995</c:v>
                </c:pt>
                <c:pt idx="581">
                  <c:v>0.75935699999999995</c:v>
                </c:pt>
                <c:pt idx="582">
                  <c:v>0.99728099999999997</c:v>
                </c:pt>
                <c:pt idx="583">
                  <c:v>1.16029</c:v>
                </c:pt>
                <c:pt idx="584">
                  <c:v>1.1579980000000001</c:v>
                </c:pt>
                <c:pt idx="585">
                  <c:v>0.92712000000000006</c:v>
                </c:pt>
                <c:pt idx="586">
                  <c:v>0.76232299999999997</c:v>
                </c:pt>
                <c:pt idx="587">
                  <c:v>0.70796800000000004</c:v>
                </c:pt>
                <c:pt idx="588">
                  <c:v>0.74168599999999996</c:v>
                </c:pt>
                <c:pt idx="589">
                  <c:v>1.007579</c:v>
                </c:pt>
                <c:pt idx="590">
                  <c:v>0.83804900000000004</c:v>
                </c:pt>
                <c:pt idx="591">
                  <c:v>0.73303300000000005</c:v>
                </c:pt>
                <c:pt idx="592">
                  <c:v>0.66273700000000002</c:v>
                </c:pt>
                <c:pt idx="593">
                  <c:v>0.74501399999999995</c:v>
                </c:pt>
                <c:pt idx="594">
                  <c:v>0.86961500000000003</c:v>
                </c:pt>
                <c:pt idx="595">
                  <c:v>1.0176769999999999</c:v>
                </c:pt>
                <c:pt idx="596">
                  <c:v>0.99664699999999995</c:v>
                </c:pt>
                <c:pt idx="597">
                  <c:v>0.78334999999999999</c:v>
                </c:pt>
                <c:pt idx="598">
                  <c:v>0.67339000000000004</c:v>
                </c:pt>
                <c:pt idx="599">
                  <c:v>0.69022799999999995</c:v>
                </c:pt>
                <c:pt idx="600">
                  <c:v>0.87061999999999995</c:v>
                </c:pt>
                <c:pt idx="601">
                  <c:v>0.74999099999999996</c:v>
                </c:pt>
                <c:pt idx="602">
                  <c:v>0.58209299999999997</c:v>
                </c:pt>
                <c:pt idx="603">
                  <c:v>0.62001200000000001</c:v>
                </c:pt>
                <c:pt idx="604">
                  <c:v>0.50001200000000001</c:v>
                </c:pt>
                <c:pt idx="605">
                  <c:v>0.55040299999999998</c:v>
                </c:pt>
                <c:pt idx="606">
                  <c:v>0.70464599999999999</c:v>
                </c:pt>
                <c:pt idx="607">
                  <c:v>0.912435</c:v>
                </c:pt>
                <c:pt idx="608">
                  <c:v>0.90264900000000003</c:v>
                </c:pt>
                <c:pt idx="609">
                  <c:v>0.71623999999999999</c:v>
                </c:pt>
                <c:pt idx="610">
                  <c:v>0.62749200000000005</c:v>
                </c:pt>
                <c:pt idx="611">
                  <c:v>0.62908600000000003</c:v>
                </c:pt>
                <c:pt idx="612">
                  <c:v>0.67572900000000002</c:v>
                </c:pt>
                <c:pt idx="613">
                  <c:v>0.87894700000000003</c:v>
                </c:pt>
                <c:pt idx="614">
                  <c:v>0.56219600000000003</c:v>
                </c:pt>
                <c:pt idx="615">
                  <c:v>0.49379699999999999</c:v>
                </c:pt>
                <c:pt idx="616">
                  <c:v>0.46742800000000001</c:v>
                </c:pt>
                <c:pt idx="617">
                  <c:v>0.56319799999999998</c:v>
                </c:pt>
                <c:pt idx="618">
                  <c:v>0.72140300000000002</c:v>
                </c:pt>
                <c:pt idx="619">
                  <c:v>0.83790600000000004</c:v>
                </c:pt>
                <c:pt idx="620">
                  <c:v>0.81781000000000004</c:v>
                </c:pt>
                <c:pt idx="621">
                  <c:v>0.66399300000000006</c:v>
                </c:pt>
                <c:pt idx="622">
                  <c:v>0.58891499999999997</c:v>
                </c:pt>
                <c:pt idx="623">
                  <c:v>0.56990200000000002</c:v>
                </c:pt>
                <c:pt idx="624">
                  <c:v>0.74671799999999999</c:v>
                </c:pt>
                <c:pt idx="625">
                  <c:v>0.94461099999999998</c:v>
                </c:pt>
                <c:pt idx="626">
                  <c:v>0.73619900000000005</c:v>
                </c:pt>
                <c:pt idx="627">
                  <c:v>0.59985500000000003</c:v>
                </c:pt>
                <c:pt idx="628">
                  <c:v>0.55126500000000001</c:v>
                </c:pt>
                <c:pt idx="629">
                  <c:v>0.59227799999999997</c:v>
                </c:pt>
                <c:pt idx="630">
                  <c:v>0.75883699999999998</c:v>
                </c:pt>
                <c:pt idx="631">
                  <c:v>0.92495000000000005</c:v>
                </c:pt>
                <c:pt idx="632">
                  <c:v>0.82046799999999998</c:v>
                </c:pt>
                <c:pt idx="633">
                  <c:v>0.69828500000000004</c:v>
                </c:pt>
                <c:pt idx="634">
                  <c:v>0.65426499999999999</c:v>
                </c:pt>
                <c:pt idx="635">
                  <c:v>0.65495599999999998</c:v>
                </c:pt>
                <c:pt idx="636">
                  <c:v>0.77357100000000001</c:v>
                </c:pt>
              </c:numCache>
            </c:numRef>
          </c:val>
          <c:smooth val="0"/>
          <c:extLst>
            <c:ext xmlns:c16="http://schemas.microsoft.com/office/drawing/2014/chart" uri="{C3380CC4-5D6E-409C-BE32-E72D297353CC}">
              <c16:uniqueId val="{00000000-9642-4D4B-B620-2D1998070311}"/>
            </c:ext>
          </c:extLst>
        </c:ser>
        <c:ser>
          <c:idx val="1"/>
          <c:order val="1"/>
          <c:tx>
            <c:strRef>
              <c:f>'Monthly Data'!$M$1:$M$10</c:f>
              <c:strCache>
                <c:ptCount val="10"/>
                <c:pt idx="8">
                  <c:v>Total Renewable Energy Consumption</c:v>
                </c:pt>
                <c:pt idx="9">
                  <c:v>(Quadrillion Btu)</c:v>
                </c:pt>
              </c:strCache>
            </c:strRef>
          </c:tx>
          <c:spPr>
            <a:ln w="22225" cap="rnd">
              <a:solidFill>
                <a:schemeClr val="accent2"/>
              </a:solidFill>
            </a:ln>
            <a:effectLst>
              <a:glow rad="139700">
                <a:schemeClr val="accent2">
                  <a:satMod val="175000"/>
                  <a:alpha val="14000"/>
                </a:schemeClr>
              </a:glow>
            </a:effectLst>
          </c:spPr>
          <c:marker>
            <c:symbol val="none"/>
          </c:marker>
          <c:cat>
            <c:numRef>
              <c:f>'Monthly Data'!$B$11:$B$647</c:f>
              <c:numCache>
                <c:formatCode>m/d/yyyy</c:formatCode>
                <c:ptCount val="637"/>
                <c:pt idx="1">
                  <c:v>26665</c:v>
                </c:pt>
                <c:pt idx="2">
                  <c:v>26696</c:v>
                </c:pt>
                <c:pt idx="3">
                  <c:v>26724</c:v>
                </c:pt>
                <c:pt idx="4">
                  <c:v>26755</c:v>
                </c:pt>
                <c:pt idx="5">
                  <c:v>26785</c:v>
                </c:pt>
                <c:pt idx="6">
                  <c:v>26816</c:v>
                </c:pt>
                <c:pt idx="7">
                  <c:v>26846</c:v>
                </c:pt>
                <c:pt idx="8">
                  <c:v>26877</c:v>
                </c:pt>
                <c:pt idx="9">
                  <c:v>26908</c:v>
                </c:pt>
                <c:pt idx="10">
                  <c:v>26938</c:v>
                </c:pt>
                <c:pt idx="11">
                  <c:v>26969</c:v>
                </c:pt>
                <c:pt idx="12">
                  <c:v>26999</c:v>
                </c:pt>
                <c:pt idx="13">
                  <c:v>27030</c:v>
                </c:pt>
                <c:pt idx="14">
                  <c:v>27061</c:v>
                </c:pt>
                <c:pt idx="15">
                  <c:v>27089</c:v>
                </c:pt>
                <c:pt idx="16">
                  <c:v>27120</c:v>
                </c:pt>
                <c:pt idx="17">
                  <c:v>27150</c:v>
                </c:pt>
                <c:pt idx="18">
                  <c:v>27181</c:v>
                </c:pt>
                <c:pt idx="19">
                  <c:v>27211</c:v>
                </c:pt>
                <c:pt idx="20">
                  <c:v>27242</c:v>
                </c:pt>
                <c:pt idx="21">
                  <c:v>27273</c:v>
                </c:pt>
                <c:pt idx="22">
                  <c:v>27303</c:v>
                </c:pt>
                <c:pt idx="23">
                  <c:v>27334</c:v>
                </c:pt>
                <c:pt idx="24">
                  <c:v>27364</c:v>
                </c:pt>
                <c:pt idx="25">
                  <c:v>27395</c:v>
                </c:pt>
                <c:pt idx="26">
                  <c:v>27426</c:v>
                </c:pt>
                <c:pt idx="27">
                  <c:v>27454</c:v>
                </c:pt>
                <c:pt idx="28">
                  <c:v>27485</c:v>
                </c:pt>
                <c:pt idx="29">
                  <c:v>27515</c:v>
                </c:pt>
                <c:pt idx="30">
                  <c:v>27546</c:v>
                </c:pt>
                <c:pt idx="31">
                  <c:v>27576</c:v>
                </c:pt>
                <c:pt idx="32">
                  <c:v>27607</c:v>
                </c:pt>
                <c:pt idx="33">
                  <c:v>27638</c:v>
                </c:pt>
                <c:pt idx="34">
                  <c:v>27668</c:v>
                </c:pt>
                <c:pt idx="35">
                  <c:v>27699</c:v>
                </c:pt>
                <c:pt idx="36">
                  <c:v>27729</c:v>
                </c:pt>
                <c:pt idx="37">
                  <c:v>27760</c:v>
                </c:pt>
                <c:pt idx="38">
                  <c:v>27791</c:v>
                </c:pt>
                <c:pt idx="39">
                  <c:v>27820</c:v>
                </c:pt>
                <c:pt idx="40">
                  <c:v>27851</c:v>
                </c:pt>
                <c:pt idx="41">
                  <c:v>27881</c:v>
                </c:pt>
                <c:pt idx="42">
                  <c:v>27912</c:v>
                </c:pt>
                <c:pt idx="43">
                  <c:v>27942</c:v>
                </c:pt>
                <c:pt idx="44">
                  <c:v>27973</c:v>
                </c:pt>
                <c:pt idx="45">
                  <c:v>28004</c:v>
                </c:pt>
                <c:pt idx="46">
                  <c:v>28034</c:v>
                </c:pt>
                <c:pt idx="47">
                  <c:v>28065</c:v>
                </c:pt>
                <c:pt idx="48">
                  <c:v>28095</c:v>
                </c:pt>
                <c:pt idx="49">
                  <c:v>28126</c:v>
                </c:pt>
                <c:pt idx="50">
                  <c:v>28157</c:v>
                </c:pt>
                <c:pt idx="51">
                  <c:v>28185</c:v>
                </c:pt>
                <c:pt idx="52">
                  <c:v>28216</c:v>
                </c:pt>
                <c:pt idx="53">
                  <c:v>28246</c:v>
                </c:pt>
                <c:pt idx="54">
                  <c:v>28277</c:v>
                </c:pt>
                <c:pt idx="55">
                  <c:v>28307</c:v>
                </c:pt>
                <c:pt idx="56">
                  <c:v>28338</c:v>
                </c:pt>
                <c:pt idx="57">
                  <c:v>28369</c:v>
                </c:pt>
                <c:pt idx="58">
                  <c:v>28399</c:v>
                </c:pt>
                <c:pt idx="59">
                  <c:v>28430</c:v>
                </c:pt>
                <c:pt idx="60">
                  <c:v>28460</c:v>
                </c:pt>
                <c:pt idx="61">
                  <c:v>28491</c:v>
                </c:pt>
                <c:pt idx="62">
                  <c:v>28522</c:v>
                </c:pt>
                <c:pt idx="63">
                  <c:v>28550</c:v>
                </c:pt>
                <c:pt idx="64">
                  <c:v>28581</c:v>
                </c:pt>
                <c:pt idx="65">
                  <c:v>28611</c:v>
                </c:pt>
                <c:pt idx="66">
                  <c:v>28642</c:v>
                </c:pt>
                <c:pt idx="67">
                  <c:v>28672</c:v>
                </c:pt>
                <c:pt idx="68">
                  <c:v>28703</c:v>
                </c:pt>
                <c:pt idx="69">
                  <c:v>28734</c:v>
                </c:pt>
                <c:pt idx="70">
                  <c:v>28764</c:v>
                </c:pt>
                <c:pt idx="71">
                  <c:v>28795</c:v>
                </c:pt>
                <c:pt idx="72">
                  <c:v>28825</c:v>
                </c:pt>
                <c:pt idx="73">
                  <c:v>28856</c:v>
                </c:pt>
                <c:pt idx="74">
                  <c:v>28887</c:v>
                </c:pt>
                <c:pt idx="75">
                  <c:v>28915</c:v>
                </c:pt>
                <c:pt idx="76">
                  <c:v>28946</c:v>
                </c:pt>
                <c:pt idx="77">
                  <c:v>28976</c:v>
                </c:pt>
                <c:pt idx="78">
                  <c:v>29007</c:v>
                </c:pt>
                <c:pt idx="79">
                  <c:v>29037</c:v>
                </c:pt>
                <c:pt idx="80">
                  <c:v>29068</c:v>
                </c:pt>
                <c:pt idx="81">
                  <c:v>29099</c:v>
                </c:pt>
                <c:pt idx="82">
                  <c:v>29129</c:v>
                </c:pt>
                <c:pt idx="83">
                  <c:v>29160</c:v>
                </c:pt>
                <c:pt idx="84">
                  <c:v>29190</c:v>
                </c:pt>
                <c:pt idx="85">
                  <c:v>29221</c:v>
                </c:pt>
                <c:pt idx="86">
                  <c:v>29252</c:v>
                </c:pt>
                <c:pt idx="87">
                  <c:v>29281</c:v>
                </c:pt>
                <c:pt idx="88">
                  <c:v>29312</c:v>
                </c:pt>
                <c:pt idx="89">
                  <c:v>29342</c:v>
                </c:pt>
                <c:pt idx="90">
                  <c:v>29373</c:v>
                </c:pt>
                <c:pt idx="91">
                  <c:v>29403</c:v>
                </c:pt>
                <c:pt idx="92">
                  <c:v>29434</c:v>
                </c:pt>
                <c:pt idx="93">
                  <c:v>29465</c:v>
                </c:pt>
                <c:pt idx="94">
                  <c:v>29495</c:v>
                </c:pt>
                <c:pt idx="95">
                  <c:v>29526</c:v>
                </c:pt>
                <c:pt idx="96">
                  <c:v>29556</c:v>
                </c:pt>
                <c:pt idx="97">
                  <c:v>29587</c:v>
                </c:pt>
                <c:pt idx="98">
                  <c:v>29618</c:v>
                </c:pt>
                <c:pt idx="99">
                  <c:v>29646</c:v>
                </c:pt>
                <c:pt idx="100">
                  <c:v>29677</c:v>
                </c:pt>
                <c:pt idx="101">
                  <c:v>29707</c:v>
                </c:pt>
                <c:pt idx="102">
                  <c:v>29738</c:v>
                </c:pt>
                <c:pt idx="103">
                  <c:v>29768</c:v>
                </c:pt>
                <c:pt idx="104">
                  <c:v>29799</c:v>
                </c:pt>
                <c:pt idx="105">
                  <c:v>29830</c:v>
                </c:pt>
                <c:pt idx="106">
                  <c:v>29860</c:v>
                </c:pt>
                <c:pt idx="107">
                  <c:v>29891</c:v>
                </c:pt>
                <c:pt idx="108">
                  <c:v>29921</c:v>
                </c:pt>
                <c:pt idx="109">
                  <c:v>29952</c:v>
                </c:pt>
                <c:pt idx="110">
                  <c:v>29983</c:v>
                </c:pt>
                <c:pt idx="111">
                  <c:v>30011</c:v>
                </c:pt>
                <c:pt idx="112">
                  <c:v>30042</c:v>
                </c:pt>
                <c:pt idx="113">
                  <c:v>30072</c:v>
                </c:pt>
                <c:pt idx="114">
                  <c:v>30103</c:v>
                </c:pt>
                <c:pt idx="115">
                  <c:v>30133</c:v>
                </c:pt>
                <c:pt idx="116">
                  <c:v>30164</c:v>
                </c:pt>
                <c:pt idx="117">
                  <c:v>30195</c:v>
                </c:pt>
                <c:pt idx="118">
                  <c:v>30225</c:v>
                </c:pt>
                <c:pt idx="119">
                  <c:v>30256</c:v>
                </c:pt>
                <c:pt idx="120">
                  <c:v>30286</c:v>
                </c:pt>
                <c:pt idx="121">
                  <c:v>30317</c:v>
                </c:pt>
                <c:pt idx="122">
                  <c:v>30348</c:v>
                </c:pt>
                <c:pt idx="123">
                  <c:v>30376</c:v>
                </c:pt>
                <c:pt idx="124">
                  <c:v>30407</c:v>
                </c:pt>
                <c:pt idx="125">
                  <c:v>30437</c:v>
                </c:pt>
                <c:pt idx="126">
                  <c:v>30468</c:v>
                </c:pt>
                <c:pt idx="127">
                  <c:v>30498</c:v>
                </c:pt>
                <c:pt idx="128">
                  <c:v>30529</c:v>
                </c:pt>
                <c:pt idx="129">
                  <c:v>30560</c:v>
                </c:pt>
                <c:pt idx="130">
                  <c:v>30590</c:v>
                </c:pt>
                <c:pt idx="131">
                  <c:v>30621</c:v>
                </c:pt>
                <c:pt idx="132">
                  <c:v>30651</c:v>
                </c:pt>
                <c:pt idx="133">
                  <c:v>30682</c:v>
                </c:pt>
                <c:pt idx="134">
                  <c:v>30713</c:v>
                </c:pt>
                <c:pt idx="135">
                  <c:v>30742</c:v>
                </c:pt>
                <c:pt idx="136">
                  <c:v>30773</c:v>
                </c:pt>
                <c:pt idx="137">
                  <c:v>30803</c:v>
                </c:pt>
                <c:pt idx="138">
                  <c:v>30834</c:v>
                </c:pt>
                <c:pt idx="139">
                  <c:v>30864</c:v>
                </c:pt>
                <c:pt idx="140">
                  <c:v>30895</c:v>
                </c:pt>
                <c:pt idx="141">
                  <c:v>30926</c:v>
                </c:pt>
                <c:pt idx="142">
                  <c:v>30956</c:v>
                </c:pt>
                <c:pt idx="143">
                  <c:v>30987</c:v>
                </c:pt>
                <c:pt idx="144">
                  <c:v>31017</c:v>
                </c:pt>
                <c:pt idx="145">
                  <c:v>31048</c:v>
                </c:pt>
                <c:pt idx="146">
                  <c:v>31079</c:v>
                </c:pt>
                <c:pt idx="147">
                  <c:v>31107</c:v>
                </c:pt>
                <c:pt idx="148">
                  <c:v>31138</c:v>
                </c:pt>
                <c:pt idx="149">
                  <c:v>31168</c:v>
                </c:pt>
                <c:pt idx="150">
                  <c:v>31199</c:v>
                </c:pt>
                <c:pt idx="151">
                  <c:v>31229</c:v>
                </c:pt>
                <c:pt idx="152">
                  <c:v>31260</c:v>
                </c:pt>
                <c:pt idx="153">
                  <c:v>31291</c:v>
                </c:pt>
                <c:pt idx="154">
                  <c:v>31321</c:v>
                </c:pt>
                <c:pt idx="155">
                  <c:v>31352</c:v>
                </c:pt>
                <c:pt idx="156">
                  <c:v>31382</c:v>
                </c:pt>
                <c:pt idx="157">
                  <c:v>31413</c:v>
                </c:pt>
                <c:pt idx="158">
                  <c:v>31444</c:v>
                </c:pt>
                <c:pt idx="159">
                  <c:v>31472</c:v>
                </c:pt>
                <c:pt idx="160">
                  <c:v>31503</c:v>
                </c:pt>
                <c:pt idx="161">
                  <c:v>31533</c:v>
                </c:pt>
                <c:pt idx="162">
                  <c:v>31564</c:v>
                </c:pt>
                <c:pt idx="163">
                  <c:v>31594</c:v>
                </c:pt>
                <c:pt idx="164">
                  <c:v>31625</c:v>
                </c:pt>
                <c:pt idx="165">
                  <c:v>31656</c:v>
                </c:pt>
                <c:pt idx="166">
                  <c:v>31686</c:v>
                </c:pt>
                <c:pt idx="167">
                  <c:v>31717</c:v>
                </c:pt>
                <c:pt idx="168">
                  <c:v>31747</c:v>
                </c:pt>
                <c:pt idx="169">
                  <c:v>31778</c:v>
                </c:pt>
                <c:pt idx="170">
                  <c:v>31809</c:v>
                </c:pt>
                <c:pt idx="171">
                  <c:v>31837</c:v>
                </c:pt>
                <c:pt idx="172">
                  <c:v>31868</c:v>
                </c:pt>
                <c:pt idx="173">
                  <c:v>31898</c:v>
                </c:pt>
                <c:pt idx="174">
                  <c:v>31929</c:v>
                </c:pt>
                <c:pt idx="175">
                  <c:v>31959</c:v>
                </c:pt>
                <c:pt idx="176">
                  <c:v>31990</c:v>
                </c:pt>
                <c:pt idx="177">
                  <c:v>32021</c:v>
                </c:pt>
                <c:pt idx="178">
                  <c:v>32051</c:v>
                </c:pt>
                <c:pt idx="179">
                  <c:v>32082</c:v>
                </c:pt>
                <c:pt idx="180">
                  <c:v>32112</c:v>
                </c:pt>
                <c:pt idx="181">
                  <c:v>32143</c:v>
                </c:pt>
                <c:pt idx="182">
                  <c:v>32174</c:v>
                </c:pt>
                <c:pt idx="183">
                  <c:v>32203</c:v>
                </c:pt>
                <c:pt idx="184">
                  <c:v>32234</c:v>
                </c:pt>
                <c:pt idx="185">
                  <c:v>32264</c:v>
                </c:pt>
                <c:pt idx="186">
                  <c:v>32295</c:v>
                </c:pt>
                <c:pt idx="187">
                  <c:v>32325</c:v>
                </c:pt>
                <c:pt idx="188">
                  <c:v>32356</c:v>
                </c:pt>
                <c:pt idx="189">
                  <c:v>32387</c:v>
                </c:pt>
                <c:pt idx="190">
                  <c:v>32417</c:v>
                </c:pt>
                <c:pt idx="191">
                  <c:v>32448</c:v>
                </c:pt>
                <c:pt idx="192">
                  <c:v>32478</c:v>
                </c:pt>
                <c:pt idx="193">
                  <c:v>32509</c:v>
                </c:pt>
                <c:pt idx="194">
                  <c:v>32540</c:v>
                </c:pt>
                <c:pt idx="195">
                  <c:v>32568</c:v>
                </c:pt>
                <c:pt idx="196">
                  <c:v>32599</c:v>
                </c:pt>
                <c:pt idx="197">
                  <c:v>32629</c:v>
                </c:pt>
                <c:pt idx="198">
                  <c:v>32660</c:v>
                </c:pt>
                <c:pt idx="199">
                  <c:v>32690</c:v>
                </c:pt>
                <c:pt idx="200">
                  <c:v>32721</c:v>
                </c:pt>
                <c:pt idx="201">
                  <c:v>32752</c:v>
                </c:pt>
                <c:pt idx="202">
                  <c:v>32782</c:v>
                </c:pt>
                <c:pt idx="203">
                  <c:v>32813</c:v>
                </c:pt>
                <c:pt idx="204">
                  <c:v>32843</c:v>
                </c:pt>
                <c:pt idx="205">
                  <c:v>32874</c:v>
                </c:pt>
                <c:pt idx="206">
                  <c:v>32905</c:v>
                </c:pt>
                <c:pt idx="207">
                  <c:v>32933</c:v>
                </c:pt>
                <c:pt idx="208">
                  <c:v>32964</c:v>
                </c:pt>
                <c:pt idx="209">
                  <c:v>32994</c:v>
                </c:pt>
                <c:pt idx="210">
                  <c:v>33025</c:v>
                </c:pt>
                <c:pt idx="211">
                  <c:v>33055</c:v>
                </c:pt>
                <c:pt idx="212">
                  <c:v>33086</c:v>
                </c:pt>
                <c:pt idx="213">
                  <c:v>33117</c:v>
                </c:pt>
                <c:pt idx="214">
                  <c:v>33147</c:v>
                </c:pt>
                <c:pt idx="215">
                  <c:v>33178</c:v>
                </c:pt>
                <c:pt idx="216">
                  <c:v>33208</c:v>
                </c:pt>
                <c:pt idx="217">
                  <c:v>33239</c:v>
                </c:pt>
                <c:pt idx="218">
                  <c:v>33270</c:v>
                </c:pt>
                <c:pt idx="219">
                  <c:v>33298</c:v>
                </c:pt>
                <c:pt idx="220">
                  <c:v>33329</c:v>
                </c:pt>
                <c:pt idx="221">
                  <c:v>33359</c:v>
                </c:pt>
                <c:pt idx="222">
                  <c:v>33390</c:v>
                </c:pt>
                <c:pt idx="223">
                  <c:v>33420</c:v>
                </c:pt>
                <c:pt idx="224">
                  <c:v>33451</c:v>
                </c:pt>
                <c:pt idx="225">
                  <c:v>33482</c:v>
                </c:pt>
                <c:pt idx="226">
                  <c:v>33512</c:v>
                </c:pt>
                <c:pt idx="227">
                  <c:v>33543</c:v>
                </c:pt>
                <c:pt idx="228">
                  <c:v>33573</c:v>
                </c:pt>
                <c:pt idx="229">
                  <c:v>33604</c:v>
                </c:pt>
                <c:pt idx="230">
                  <c:v>33635</c:v>
                </c:pt>
                <c:pt idx="231">
                  <c:v>33664</c:v>
                </c:pt>
                <c:pt idx="232">
                  <c:v>33695</c:v>
                </c:pt>
                <c:pt idx="233">
                  <c:v>33725</c:v>
                </c:pt>
                <c:pt idx="234">
                  <c:v>33756</c:v>
                </c:pt>
                <c:pt idx="235">
                  <c:v>33786</c:v>
                </c:pt>
                <c:pt idx="236">
                  <c:v>33817</c:v>
                </c:pt>
                <c:pt idx="237">
                  <c:v>33848</c:v>
                </c:pt>
                <c:pt idx="238">
                  <c:v>33878</c:v>
                </c:pt>
                <c:pt idx="239">
                  <c:v>33909</c:v>
                </c:pt>
                <c:pt idx="240">
                  <c:v>33939</c:v>
                </c:pt>
                <c:pt idx="241">
                  <c:v>33970</c:v>
                </c:pt>
                <c:pt idx="242">
                  <c:v>34001</c:v>
                </c:pt>
                <c:pt idx="243">
                  <c:v>34029</c:v>
                </c:pt>
                <c:pt idx="244">
                  <c:v>34060</c:v>
                </c:pt>
                <c:pt idx="245">
                  <c:v>34090</c:v>
                </c:pt>
                <c:pt idx="246">
                  <c:v>34121</c:v>
                </c:pt>
                <c:pt idx="247">
                  <c:v>34151</c:v>
                </c:pt>
                <c:pt idx="248">
                  <c:v>34182</c:v>
                </c:pt>
                <c:pt idx="249">
                  <c:v>34213</c:v>
                </c:pt>
                <c:pt idx="250">
                  <c:v>34243</c:v>
                </c:pt>
                <c:pt idx="251">
                  <c:v>34274</c:v>
                </c:pt>
                <c:pt idx="252">
                  <c:v>34304</c:v>
                </c:pt>
                <c:pt idx="253">
                  <c:v>34335</c:v>
                </c:pt>
                <c:pt idx="254">
                  <c:v>34366</c:v>
                </c:pt>
                <c:pt idx="255">
                  <c:v>34394</c:v>
                </c:pt>
                <c:pt idx="256">
                  <c:v>34425</c:v>
                </c:pt>
                <c:pt idx="257">
                  <c:v>34455</c:v>
                </c:pt>
                <c:pt idx="258">
                  <c:v>34486</c:v>
                </c:pt>
                <c:pt idx="259">
                  <c:v>34516</c:v>
                </c:pt>
                <c:pt idx="260">
                  <c:v>34547</c:v>
                </c:pt>
                <c:pt idx="261">
                  <c:v>34578</c:v>
                </c:pt>
                <c:pt idx="262">
                  <c:v>34608</c:v>
                </c:pt>
                <c:pt idx="263">
                  <c:v>34639</c:v>
                </c:pt>
                <c:pt idx="264">
                  <c:v>34669</c:v>
                </c:pt>
                <c:pt idx="265">
                  <c:v>34700</c:v>
                </c:pt>
                <c:pt idx="266">
                  <c:v>34731</c:v>
                </c:pt>
                <c:pt idx="267">
                  <c:v>34759</c:v>
                </c:pt>
                <c:pt idx="268">
                  <c:v>34790</c:v>
                </c:pt>
                <c:pt idx="269">
                  <c:v>34820</c:v>
                </c:pt>
                <c:pt idx="270">
                  <c:v>34851</c:v>
                </c:pt>
                <c:pt idx="271">
                  <c:v>34881</c:v>
                </c:pt>
                <c:pt idx="272">
                  <c:v>34912</c:v>
                </c:pt>
                <c:pt idx="273">
                  <c:v>34943</c:v>
                </c:pt>
                <c:pt idx="274">
                  <c:v>34973</c:v>
                </c:pt>
                <c:pt idx="275">
                  <c:v>35004</c:v>
                </c:pt>
                <c:pt idx="276">
                  <c:v>35034</c:v>
                </c:pt>
                <c:pt idx="277">
                  <c:v>35065</c:v>
                </c:pt>
                <c:pt idx="278">
                  <c:v>35096</c:v>
                </c:pt>
                <c:pt idx="279">
                  <c:v>35125</c:v>
                </c:pt>
                <c:pt idx="280">
                  <c:v>35156</c:v>
                </c:pt>
                <c:pt idx="281">
                  <c:v>35186</c:v>
                </c:pt>
                <c:pt idx="282">
                  <c:v>35217</c:v>
                </c:pt>
                <c:pt idx="283">
                  <c:v>35247</c:v>
                </c:pt>
                <c:pt idx="284">
                  <c:v>35278</c:v>
                </c:pt>
                <c:pt idx="285">
                  <c:v>35309</c:v>
                </c:pt>
                <c:pt idx="286">
                  <c:v>35339</c:v>
                </c:pt>
                <c:pt idx="287">
                  <c:v>35370</c:v>
                </c:pt>
                <c:pt idx="288">
                  <c:v>35400</c:v>
                </c:pt>
                <c:pt idx="289">
                  <c:v>35431</c:v>
                </c:pt>
                <c:pt idx="290">
                  <c:v>35462</c:v>
                </c:pt>
                <c:pt idx="291">
                  <c:v>35490</c:v>
                </c:pt>
                <c:pt idx="292">
                  <c:v>35521</c:v>
                </c:pt>
                <c:pt idx="293">
                  <c:v>35551</c:v>
                </c:pt>
                <c:pt idx="294">
                  <c:v>35582</c:v>
                </c:pt>
                <c:pt idx="295">
                  <c:v>35612</c:v>
                </c:pt>
                <c:pt idx="296">
                  <c:v>35643</c:v>
                </c:pt>
                <c:pt idx="297">
                  <c:v>35674</c:v>
                </c:pt>
                <c:pt idx="298">
                  <c:v>35704</c:v>
                </c:pt>
                <c:pt idx="299">
                  <c:v>35735</c:v>
                </c:pt>
                <c:pt idx="300">
                  <c:v>35765</c:v>
                </c:pt>
                <c:pt idx="301">
                  <c:v>35796</c:v>
                </c:pt>
                <c:pt idx="302">
                  <c:v>35827</c:v>
                </c:pt>
                <c:pt idx="303">
                  <c:v>35855</c:v>
                </c:pt>
                <c:pt idx="304">
                  <c:v>35886</c:v>
                </c:pt>
                <c:pt idx="305">
                  <c:v>35916</c:v>
                </c:pt>
                <c:pt idx="306">
                  <c:v>35947</c:v>
                </c:pt>
                <c:pt idx="307">
                  <c:v>35977</c:v>
                </c:pt>
                <c:pt idx="308">
                  <c:v>36008</c:v>
                </c:pt>
                <c:pt idx="309">
                  <c:v>36039</c:v>
                </c:pt>
                <c:pt idx="310">
                  <c:v>36069</c:v>
                </c:pt>
                <c:pt idx="311">
                  <c:v>36100</c:v>
                </c:pt>
                <c:pt idx="312">
                  <c:v>36130</c:v>
                </c:pt>
                <c:pt idx="313">
                  <c:v>36161</c:v>
                </c:pt>
                <c:pt idx="314">
                  <c:v>36192</c:v>
                </c:pt>
                <c:pt idx="315">
                  <c:v>36220</c:v>
                </c:pt>
                <c:pt idx="316">
                  <c:v>36251</c:v>
                </c:pt>
                <c:pt idx="317">
                  <c:v>36281</c:v>
                </c:pt>
                <c:pt idx="318">
                  <c:v>36312</c:v>
                </c:pt>
                <c:pt idx="319">
                  <c:v>36342</c:v>
                </c:pt>
                <c:pt idx="320">
                  <c:v>36373</c:v>
                </c:pt>
                <c:pt idx="321">
                  <c:v>36404</c:v>
                </c:pt>
                <c:pt idx="322">
                  <c:v>36434</c:v>
                </c:pt>
                <c:pt idx="323">
                  <c:v>36465</c:v>
                </c:pt>
                <c:pt idx="324">
                  <c:v>36495</c:v>
                </c:pt>
                <c:pt idx="325">
                  <c:v>36526</c:v>
                </c:pt>
                <c:pt idx="326">
                  <c:v>36557</c:v>
                </c:pt>
                <c:pt idx="327">
                  <c:v>36586</c:v>
                </c:pt>
                <c:pt idx="328">
                  <c:v>36617</c:v>
                </c:pt>
                <c:pt idx="329">
                  <c:v>36647</c:v>
                </c:pt>
                <c:pt idx="330">
                  <c:v>36678</c:v>
                </c:pt>
                <c:pt idx="331">
                  <c:v>36708</c:v>
                </c:pt>
                <c:pt idx="332">
                  <c:v>36739</c:v>
                </c:pt>
                <c:pt idx="333">
                  <c:v>36770</c:v>
                </c:pt>
                <c:pt idx="334">
                  <c:v>36800</c:v>
                </c:pt>
                <c:pt idx="335">
                  <c:v>36831</c:v>
                </c:pt>
                <c:pt idx="336">
                  <c:v>36861</c:v>
                </c:pt>
                <c:pt idx="337">
                  <c:v>36892</c:v>
                </c:pt>
                <c:pt idx="338">
                  <c:v>36923</c:v>
                </c:pt>
                <c:pt idx="339">
                  <c:v>36951</c:v>
                </c:pt>
                <c:pt idx="340">
                  <c:v>36982</c:v>
                </c:pt>
                <c:pt idx="341">
                  <c:v>37012</c:v>
                </c:pt>
                <c:pt idx="342">
                  <c:v>37043</c:v>
                </c:pt>
                <c:pt idx="343">
                  <c:v>37073</c:v>
                </c:pt>
                <c:pt idx="344">
                  <c:v>37104</c:v>
                </c:pt>
                <c:pt idx="345">
                  <c:v>37135</c:v>
                </c:pt>
                <c:pt idx="346">
                  <c:v>37165</c:v>
                </c:pt>
                <c:pt idx="347">
                  <c:v>37196</c:v>
                </c:pt>
                <c:pt idx="348">
                  <c:v>37226</c:v>
                </c:pt>
                <c:pt idx="349">
                  <c:v>37257</c:v>
                </c:pt>
                <c:pt idx="350">
                  <c:v>37288</c:v>
                </c:pt>
                <c:pt idx="351">
                  <c:v>37316</c:v>
                </c:pt>
                <c:pt idx="352">
                  <c:v>37347</c:v>
                </c:pt>
                <c:pt idx="353">
                  <c:v>37377</c:v>
                </c:pt>
                <c:pt idx="354">
                  <c:v>37408</c:v>
                </c:pt>
                <c:pt idx="355">
                  <c:v>37438</c:v>
                </c:pt>
                <c:pt idx="356">
                  <c:v>37469</c:v>
                </c:pt>
                <c:pt idx="357">
                  <c:v>37500</c:v>
                </c:pt>
                <c:pt idx="358">
                  <c:v>37530</c:v>
                </c:pt>
                <c:pt idx="359">
                  <c:v>37561</c:v>
                </c:pt>
                <c:pt idx="360">
                  <c:v>37591</c:v>
                </c:pt>
                <c:pt idx="361">
                  <c:v>37622</c:v>
                </c:pt>
                <c:pt idx="362">
                  <c:v>37653</c:v>
                </c:pt>
                <c:pt idx="363">
                  <c:v>37681</c:v>
                </c:pt>
                <c:pt idx="364">
                  <c:v>37712</c:v>
                </c:pt>
                <c:pt idx="365">
                  <c:v>37742</c:v>
                </c:pt>
                <c:pt idx="366">
                  <c:v>37773</c:v>
                </c:pt>
                <c:pt idx="367">
                  <c:v>37803</c:v>
                </c:pt>
                <c:pt idx="368">
                  <c:v>37834</c:v>
                </c:pt>
                <c:pt idx="369">
                  <c:v>37865</c:v>
                </c:pt>
                <c:pt idx="370">
                  <c:v>37895</c:v>
                </c:pt>
                <c:pt idx="371">
                  <c:v>37926</c:v>
                </c:pt>
                <c:pt idx="372">
                  <c:v>37956</c:v>
                </c:pt>
                <c:pt idx="373">
                  <c:v>37987</c:v>
                </c:pt>
                <c:pt idx="374">
                  <c:v>38018</c:v>
                </c:pt>
                <c:pt idx="375">
                  <c:v>38047</c:v>
                </c:pt>
                <c:pt idx="376">
                  <c:v>38078</c:v>
                </c:pt>
                <c:pt idx="377">
                  <c:v>38108</c:v>
                </c:pt>
                <c:pt idx="378">
                  <c:v>38139</c:v>
                </c:pt>
                <c:pt idx="379">
                  <c:v>38169</c:v>
                </c:pt>
                <c:pt idx="380">
                  <c:v>38200</c:v>
                </c:pt>
                <c:pt idx="381">
                  <c:v>38231</c:v>
                </c:pt>
                <c:pt idx="382">
                  <c:v>38261</c:v>
                </c:pt>
                <c:pt idx="383">
                  <c:v>38292</c:v>
                </c:pt>
                <c:pt idx="384">
                  <c:v>38322</c:v>
                </c:pt>
                <c:pt idx="385">
                  <c:v>38353</c:v>
                </c:pt>
                <c:pt idx="386">
                  <c:v>38384</c:v>
                </c:pt>
                <c:pt idx="387">
                  <c:v>38412</c:v>
                </c:pt>
                <c:pt idx="388">
                  <c:v>38443</c:v>
                </c:pt>
                <c:pt idx="389">
                  <c:v>38473</c:v>
                </c:pt>
                <c:pt idx="390">
                  <c:v>38504</c:v>
                </c:pt>
                <c:pt idx="391">
                  <c:v>38534</c:v>
                </c:pt>
                <c:pt idx="392">
                  <c:v>38565</c:v>
                </c:pt>
                <c:pt idx="393">
                  <c:v>38596</c:v>
                </c:pt>
                <c:pt idx="394">
                  <c:v>38626</c:v>
                </c:pt>
                <c:pt idx="395">
                  <c:v>38657</c:v>
                </c:pt>
                <c:pt idx="396">
                  <c:v>38687</c:v>
                </c:pt>
                <c:pt idx="397">
                  <c:v>38718</c:v>
                </c:pt>
                <c:pt idx="398">
                  <c:v>38749</c:v>
                </c:pt>
                <c:pt idx="399">
                  <c:v>38777</c:v>
                </c:pt>
                <c:pt idx="400">
                  <c:v>38808</c:v>
                </c:pt>
                <c:pt idx="401">
                  <c:v>38838</c:v>
                </c:pt>
                <c:pt idx="402">
                  <c:v>38869</c:v>
                </c:pt>
                <c:pt idx="403">
                  <c:v>38899</c:v>
                </c:pt>
                <c:pt idx="404">
                  <c:v>38930</c:v>
                </c:pt>
                <c:pt idx="405">
                  <c:v>38961</c:v>
                </c:pt>
                <c:pt idx="406">
                  <c:v>38991</c:v>
                </c:pt>
                <c:pt idx="407">
                  <c:v>39022</c:v>
                </c:pt>
                <c:pt idx="408">
                  <c:v>39052</c:v>
                </c:pt>
                <c:pt idx="409">
                  <c:v>39083</c:v>
                </c:pt>
                <c:pt idx="410">
                  <c:v>39114</c:v>
                </c:pt>
                <c:pt idx="411">
                  <c:v>39142</c:v>
                </c:pt>
                <c:pt idx="412">
                  <c:v>39173</c:v>
                </c:pt>
                <c:pt idx="413">
                  <c:v>39203</c:v>
                </c:pt>
                <c:pt idx="414">
                  <c:v>39234</c:v>
                </c:pt>
                <c:pt idx="415">
                  <c:v>39264</c:v>
                </c:pt>
                <c:pt idx="416">
                  <c:v>39295</c:v>
                </c:pt>
                <c:pt idx="417">
                  <c:v>39326</c:v>
                </c:pt>
                <c:pt idx="418">
                  <c:v>39356</c:v>
                </c:pt>
                <c:pt idx="419">
                  <c:v>39387</c:v>
                </c:pt>
                <c:pt idx="420">
                  <c:v>39417</c:v>
                </c:pt>
                <c:pt idx="421">
                  <c:v>39448</c:v>
                </c:pt>
                <c:pt idx="422">
                  <c:v>39479</c:v>
                </c:pt>
                <c:pt idx="423">
                  <c:v>39508</c:v>
                </c:pt>
                <c:pt idx="424">
                  <c:v>39539</c:v>
                </c:pt>
                <c:pt idx="425">
                  <c:v>39569</c:v>
                </c:pt>
                <c:pt idx="426">
                  <c:v>39600</c:v>
                </c:pt>
                <c:pt idx="427">
                  <c:v>39630</c:v>
                </c:pt>
                <c:pt idx="428">
                  <c:v>39661</c:v>
                </c:pt>
                <c:pt idx="429">
                  <c:v>39692</c:v>
                </c:pt>
                <c:pt idx="430">
                  <c:v>39722</c:v>
                </c:pt>
                <c:pt idx="431">
                  <c:v>39753</c:v>
                </c:pt>
                <c:pt idx="432">
                  <c:v>39783</c:v>
                </c:pt>
                <c:pt idx="433">
                  <c:v>39814</c:v>
                </c:pt>
                <c:pt idx="434">
                  <c:v>39845</c:v>
                </c:pt>
                <c:pt idx="435">
                  <c:v>39873</c:v>
                </c:pt>
                <c:pt idx="436">
                  <c:v>39904</c:v>
                </c:pt>
                <c:pt idx="437">
                  <c:v>39934</c:v>
                </c:pt>
                <c:pt idx="438">
                  <c:v>39965</c:v>
                </c:pt>
                <c:pt idx="439">
                  <c:v>39995</c:v>
                </c:pt>
                <c:pt idx="440">
                  <c:v>40026</c:v>
                </c:pt>
                <c:pt idx="441">
                  <c:v>40057</c:v>
                </c:pt>
                <c:pt idx="442">
                  <c:v>40087</c:v>
                </c:pt>
                <c:pt idx="443">
                  <c:v>40118</c:v>
                </c:pt>
                <c:pt idx="444">
                  <c:v>40148</c:v>
                </c:pt>
                <c:pt idx="445">
                  <c:v>40179</c:v>
                </c:pt>
                <c:pt idx="446">
                  <c:v>40210</c:v>
                </c:pt>
                <c:pt idx="447">
                  <c:v>40238</c:v>
                </c:pt>
                <c:pt idx="448">
                  <c:v>40269</c:v>
                </c:pt>
                <c:pt idx="449">
                  <c:v>40299</c:v>
                </c:pt>
                <c:pt idx="450">
                  <c:v>40330</c:v>
                </c:pt>
                <c:pt idx="451">
                  <c:v>40360</c:v>
                </c:pt>
                <c:pt idx="452">
                  <c:v>40391</c:v>
                </c:pt>
                <c:pt idx="453">
                  <c:v>40422</c:v>
                </c:pt>
                <c:pt idx="454">
                  <c:v>40452</c:v>
                </c:pt>
                <c:pt idx="455">
                  <c:v>40483</c:v>
                </c:pt>
                <c:pt idx="456">
                  <c:v>40513</c:v>
                </c:pt>
                <c:pt idx="457">
                  <c:v>40544</c:v>
                </c:pt>
                <c:pt idx="458">
                  <c:v>40575</c:v>
                </c:pt>
                <c:pt idx="459">
                  <c:v>40603</c:v>
                </c:pt>
                <c:pt idx="460">
                  <c:v>40634</c:v>
                </c:pt>
                <c:pt idx="461">
                  <c:v>40664</c:v>
                </c:pt>
                <c:pt idx="462">
                  <c:v>40695</c:v>
                </c:pt>
                <c:pt idx="463">
                  <c:v>40725</c:v>
                </c:pt>
                <c:pt idx="464">
                  <c:v>40756</c:v>
                </c:pt>
                <c:pt idx="465">
                  <c:v>40787</c:v>
                </c:pt>
                <c:pt idx="466">
                  <c:v>40817</c:v>
                </c:pt>
                <c:pt idx="467">
                  <c:v>40848</c:v>
                </c:pt>
                <c:pt idx="468">
                  <c:v>40878</c:v>
                </c:pt>
                <c:pt idx="469">
                  <c:v>40909</c:v>
                </c:pt>
                <c:pt idx="470">
                  <c:v>40940</c:v>
                </c:pt>
                <c:pt idx="471">
                  <c:v>40969</c:v>
                </c:pt>
                <c:pt idx="472">
                  <c:v>41000</c:v>
                </c:pt>
                <c:pt idx="473">
                  <c:v>41030</c:v>
                </c:pt>
                <c:pt idx="474">
                  <c:v>41061</c:v>
                </c:pt>
                <c:pt idx="475">
                  <c:v>41091</c:v>
                </c:pt>
                <c:pt idx="476">
                  <c:v>41122</c:v>
                </c:pt>
                <c:pt idx="477">
                  <c:v>41153</c:v>
                </c:pt>
                <c:pt idx="478">
                  <c:v>41183</c:v>
                </c:pt>
                <c:pt idx="479">
                  <c:v>41214</c:v>
                </c:pt>
                <c:pt idx="480">
                  <c:v>41244</c:v>
                </c:pt>
                <c:pt idx="481">
                  <c:v>41275</c:v>
                </c:pt>
                <c:pt idx="482">
                  <c:v>41306</c:v>
                </c:pt>
                <c:pt idx="483">
                  <c:v>41334</c:v>
                </c:pt>
                <c:pt idx="484">
                  <c:v>41365</c:v>
                </c:pt>
                <c:pt idx="485">
                  <c:v>41395</c:v>
                </c:pt>
                <c:pt idx="486">
                  <c:v>41426</c:v>
                </c:pt>
                <c:pt idx="487">
                  <c:v>41456</c:v>
                </c:pt>
                <c:pt idx="488">
                  <c:v>41487</c:v>
                </c:pt>
                <c:pt idx="489">
                  <c:v>41518</c:v>
                </c:pt>
                <c:pt idx="490">
                  <c:v>41548</c:v>
                </c:pt>
                <c:pt idx="491">
                  <c:v>41579</c:v>
                </c:pt>
                <c:pt idx="492">
                  <c:v>41609</c:v>
                </c:pt>
                <c:pt idx="493">
                  <c:v>41640</c:v>
                </c:pt>
                <c:pt idx="494">
                  <c:v>41671</c:v>
                </c:pt>
                <c:pt idx="495">
                  <c:v>41699</c:v>
                </c:pt>
                <c:pt idx="496">
                  <c:v>41730</c:v>
                </c:pt>
                <c:pt idx="497">
                  <c:v>41760</c:v>
                </c:pt>
                <c:pt idx="498">
                  <c:v>41791</c:v>
                </c:pt>
                <c:pt idx="499">
                  <c:v>41821</c:v>
                </c:pt>
                <c:pt idx="500">
                  <c:v>41852</c:v>
                </c:pt>
                <c:pt idx="501">
                  <c:v>41883</c:v>
                </c:pt>
                <c:pt idx="502">
                  <c:v>41913</c:v>
                </c:pt>
                <c:pt idx="503">
                  <c:v>41944</c:v>
                </c:pt>
                <c:pt idx="504">
                  <c:v>41974</c:v>
                </c:pt>
                <c:pt idx="505">
                  <c:v>42005</c:v>
                </c:pt>
                <c:pt idx="506">
                  <c:v>42036</c:v>
                </c:pt>
                <c:pt idx="507">
                  <c:v>42064</c:v>
                </c:pt>
                <c:pt idx="508">
                  <c:v>42095</c:v>
                </c:pt>
                <c:pt idx="509">
                  <c:v>42125</c:v>
                </c:pt>
                <c:pt idx="510">
                  <c:v>42156</c:v>
                </c:pt>
                <c:pt idx="511">
                  <c:v>42186</c:v>
                </c:pt>
                <c:pt idx="512">
                  <c:v>42217</c:v>
                </c:pt>
                <c:pt idx="513">
                  <c:v>42248</c:v>
                </c:pt>
                <c:pt idx="514">
                  <c:v>42278</c:v>
                </c:pt>
                <c:pt idx="515">
                  <c:v>42309</c:v>
                </c:pt>
                <c:pt idx="516">
                  <c:v>42339</c:v>
                </c:pt>
                <c:pt idx="517">
                  <c:v>42370</c:v>
                </c:pt>
                <c:pt idx="518">
                  <c:v>42401</c:v>
                </c:pt>
                <c:pt idx="519">
                  <c:v>42430</c:v>
                </c:pt>
                <c:pt idx="520">
                  <c:v>42461</c:v>
                </c:pt>
                <c:pt idx="521">
                  <c:v>42491</c:v>
                </c:pt>
                <c:pt idx="522">
                  <c:v>42522</c:v>
                </c:pt>
                <c:pt idx="523">
                  <c:v>42552</c:v>
                </c:pt>
                <c:pt idx="524">
                  <c:v>42583</c:v>
                </c:pt>
                <c:pt idx="525">
                  <c:v>42614</c:v>
                </c:pt>
                <c:pt idx="526">
                  <c:v>42644</c:v>
                </c:pt>
                <c:pt idx="527">
                  <c:v>42675</c:v>
                </c:pt>
                <c:pt idx="528">
                  <c:v>42705</c:v>
                </c:pt>
                <c:pt idx="529">
                  <c:v>42736</c:v>
                </c:pt>
                <c:pt idx="530">
                  <c:v>42767</c:v>
                </c:pt>
                <c:pt idx="531">
                  <c:v>42795</c:v>
                </c:pt>
                <c:pt idx="532">
                  <c:v>42826</c:v>
                </c:pt>
                <c:pt idx="533">
                  <c:v>42856</c:v>
                </c:pt>
                <c:pt idx="534">
                  <c:v>42887</c:v>
                </c:pt>
                <c:pt idx="535">
                  <c:v>42917</c:v>
                </c:pt>
                <c:pt idx="536">
                  <c:v>42948</c:v>
                </c:pt>
                <c:pt idx="537">
                  <c:v>42979</c:v>
                </c:pt>
                <c:pt idx="538">
                  <c:v>43009</c:v>
                </c:pt>
                <c:pt idx="539">
                  <c:v>43040</c:v>
                </c:pt>
                <c:pt idx="540">
                  <c:v>43070</c:v>
                </c:pt>
                <c:pt idx="541">
                  <c:v>43101</c:v>
                </c:pt>
                <c:pt idx="542">
                  <c:v>43132</c:v>
                </c:pt>
                <c:pt idx="543">
                  <c:v>43160</c:v>
                </c:pt>
                <c:pt idx="544">
                  <c:v>43191</c:v>
                </c:pt>
                <c:pt idx="545">
                  <c:v>43221</c:v>
                </c:pt>
                <c:pt idx="546">
                  <c:v>43252</c:v>
                </c:pt>
                <c:pt idx="547">
                  <c:v>43282</c:v>
                </c:pt>
                <c:pt idx="548">
                  <c:v>43313</c:v>
                </c:pt>
                <c:pt idx="549">
                  <c:v>43344</c:v>
                </c:pt>
                <c:pt idx="550">
                  <c:v>43374</c:v>
                </c:pt>
                <c:pt idx="551">
                  <c:v>43405</c:v>
                </c:pt>
                <c:pt idx="552">
                  <c:v>43435</c:v>
                </c:pt>
                <c:pt idx="553">
                  <c:v>43466</c:v>
                </c:pt>
                <c:pt idx="554">
                  <c:v>43497</c:v>
                </c:pt>
                <c:pt idx="555">
                  <c:v>43525</c:v>
                </c:pt>
                <c:pt idx="556">
                  <c:v>43556</c:v>
                </c:pt>
                <c:pt idx="557">
                  <c:v>43586</c:v>
                </c:pt>
                <c:pt idx="558">
                  <c:v>43617</c:v>
                </c:pt>
                <c:pt idx="559">
                  <c:v>43647</c:v>
                </c:pt>
                <c:pt idx="560">
                  <c:v>43678</c:v>
                </c:pt>
                <c:pt idx="561">
                  <c:v>43709</c:v>
                </c:pt>
                <c:pt idx="562">
                  <c:v>43739</c:v>
                </c:pt>
                <c:pt idx="563">
                  <c:v>43770</c:v>
                </c:pt>
                <c:pt idx="564">
                  <c:v>43800</c:v>
                </c:pt>
                <c:pt idx="565">
                  <c:v>43831</c:v>
                </c:pt>
                <c:pt idx="566">
                  <c:v>43862</c:v>
                </c:pt>
                <c:pt idx="567">
                  <c:v>43891</c:v>
                </c:pt>
                <c:pt idx="568">
                  <c:v>43922</c:v>
                </c:pt>
                <c:pt idx="569">
                  <c:v>43952</c:v>
                </c:pt>
                <c:pt idx="570">
                  <c:v>43983</c:v>
                </c:pt>
                <c:pt idx="571">
                  <c:v>44013</c:v>
                </c:pt>
                <c:pt idx="572">
                  <c:v>44044</c:v>
                </c:pt>
                <c:pt idx="573">
                  <c:v>44075</c:v>
                </c:pt>
                <c:pt idx="574">
                  <c:v>44105</c:v>
                </c:pt>
                <c:pt idx="575">
                  <c:v>44136</c:v>
                </c:pt>
                <c:pt idx="576">
                  <c:v>44166</c:v>
                </c:pt>
                <c:pt idx="577">
                  <c:v>44197</c:v>
                </c:pt>
                <c:pt idx="578">
                  <c:v>44228</c:v>
                </c:pt>
                <c:pt idx="579">
                  <c:v>44256</c:v>
                </c:pt>
                <c:pt idx="580">
                  <c:v>44287</c:v>
                </c:pt>
                <c:pt idx="581">
                  <c:v>44317</c:v>
                </c:pt>
                <c:pt idx="582">
                  <c:v>44348</c:v>
                </c:pt>
                <c:pt idx="583">
                  <c:v>44378</c:v>
                </c:pt>
                <c:pt idx="584">
                  <c:v>44409</c:v>
                </c:pt>
                <c:pt idx="585">
                  <c:v>44440</c:v>
                </c:pt>
                <c:pt idx="586">
                  <c:v>44470</c:v>
                </c:pt>
                <c:pt idx="587">
                  <c:v>44501</c:v>
                </c:pt>
                <c:pt idx="588">
                  <c:v>44531</c:v>
                </c:pt>
                <c:pt idx="589">
                  <c:v>44562</c:v>
                </c:pt>
                <c:pt idx="590">
                  <c:v>44593</c:v>
                </c:pt>
                <c:pt idx="591">
                  <c:v>44621</c:v>
                </c:pt>
                <c:pt idx="592">
                  <c:v>44652</c:v>
                </c:pt>
                <c:pt idx="593">
                  <c:v>44682</c:v>
                </c:pt>
                <c:pt idx="594">
                  <c:v>44713</c:v>
                </c:pt>
                <c:pt idx="595">
                  <c:v>44743</c:v>
                </c:pt>
                <c:pt idx="596">
                  <c:v>44774</c:v>
                </c:pt>
                <c:pt idx="597">
                  <c:v>44805</c:v>
                </c:pt>
                <c:pt idx="598">
                  <c:v>44835</c:v>
                </c:pt>
                <c:pt idx="599">
                  <c:v>44866</c:v>
                </c:pt>
                <c:pt idx="600">
                  <c:v>44896</c:v>
                </c:pt>
                <c:pt idx="601">
                  <c:v>44927</c:v>
                </c:pt>
                <c:pt idx="602">
                  <c:v>44958</c:v>
                </c:pt>
                <c:pt idx="603">
                  <c:v>44986</c:v>
                </c:pt>
                <c:pt idx="604">
                  <c:v>45017</c:v>
                </c:pt>
                <c:pt idx="605">
                  <c:v>45047</c:v>
                </c:pt>
                <c:pt idx="606">
                  <c:v>45078</c:v>
                </c:pt>
                <c:pt idx="607">
                  <c:v>45108</c:v>
                </c:pt>
                <c:pt idx="608">
                  <c:v>45139</c:v>
                </c:pt>
                <c:pt idx="609">
                  <c:v>45170</c:v>
                </c:pt>
                <c:pt idx="610">
                  <c:v>45200</c:v>
                </c:pt>
                <c:pt idx="611">
                  <c:v>45231</c:v>
                </c:pt>
                <c:pt idx="612">
                  <c:v>45261</c:v>
                </c:pt>
                <c:pt idx="613">
                  <c:v>45292</c:v>
                </c:pt>
                <c:pt idx="614">
                  <c:v>45323</c:v>
                </c:pt>
                <c:pt idx="615">
                  <c:v>45352</c:v>
                </c:pt>
                <c:pt idx="616">
                  <c:v>45383</c:v>
                </c:pt>
                <c:pt idx="617">
                  <c:v>45413</c:v>
                </c:pt>
                <c:pt idx="618">
                  <c:v>45444</c:v>
                </c:pt>
                <c:pt idx="619">
                  <c:v>45474</c:v>
                </c:pt>
                <c:pt idx="620">
                  <c:v>45505</c:v>
                </c:pt>
                <c:pt idx="621">
                  <c:v>45536</c:v>
                </c:pt>
                <c:pt idx="622">
                  <c:v>45566</c:v>
                </c:pt>
                <c:pt idx="623">
                  <c:v>45597</c:v>
                </c:pt>
                <c:pt idx="624">
                  <c:v>45627</c:v>
                </c:pt>
                <c:pt idx="625">
                  <c:v>45658</c:v>
                </c:pt>
                <c:pt idx="626">
                  <c:v>45689</c:v>
                </c:pt>
                <c:pt idx="627">
                  <c:v>45717</c:v>
                </c:pt>
                <c:pt idx="628">
                  <c:v>45748</c:v>
                </c:pt>
                <c:pt idx="629">
                  <c:v>45778</c:v>
                </c:pt>
                <c:pt idx="630">
                  <c:v>45809</c:v>
                </c:pt>
                <c:pt idx="631">
                  <c:v>45839</c:v>
                </c:pt>
                <c:pt idx="632">
                  <c:v>45870</c:v>
                </c:pt>
                <c:pt idx="633">
                  <c:v>45901</c:v>
                </c:pt>
                <c:pt idx="634">
                  <c:v>45931</c:v>
                </c:pt>
                <c:pt idx="635">
                  <c:v>45962</c:v>
                </c:pt>
                <c:pt idx="636">
                  <c:v>45992</c:v>
                </c:pt>
              </c:numCache>
            </c:numRef>
          </c:cat>
          <c:val>
            <c:numRef>
              <c:f>'Monthly Data'!$M$11:$M$647</c:f>
              <c:numCache>
                <c:formatCode>General</c:formatCode>
                <c:ptCount val="637"/>
                <c:pt idx="1">
                  <c:v>0.21983900000000001</c:v>
                </c:pt>
                <c:pt idx="2">
                  <c:v>0.19733000000000001</c:v>
                </c:pt>
                <c:pt idx="3">
                  <c:v>0.21868599999999999</c:v>
                </c:pt>
                <c:pt idx="4">
                  <c:v>0.20932999999999999</c:v>
                </c:pt>
                <c:pt idx="5">
                  <c:v>0.21598200000000001</c:v>
                </c:pt>
                <c:pt idx="6">
                  <c:v>0.20824899999999999</c:v>
                </c:pt>
                <c:pt idx="7">
                  <c:v>0.20780000000000001</c:v>
                </c:pt>
                <c:pt idx="8">
                  <c:v>0.203432</c:v>
                </c:pt>
                <c:pt idx="9">
                  <c:v>0.18529999999999999</c:v>
                </c:pt>
                <c:pt idx="10">
                  <c:v>0.19351399999999999</c:v>
                </c:pt>
                <c:pt idx="11">
                  <c:v>0.195326</c:v>
                </c:pt>
                <c:pt idx="12">
                  <c:v>0.22075500000000001</c:v>
                </c:pt>
                <c:pt idx="13">
                  <c:v>0.23100999999999999</c:v>
                </c:pt>
                <c:pt idx="14">
                  <c:v>0.21018800000000001</c:v>
                </c:pt>
                <c:pt idx="15">
                  <c:v>0.226384</c:v>
                </c:pt>
                <c:pt idx="16">
                  <c:v>0.223218</c:v>
                </c:pt>
                <c:pt idx="17">
                  <c:v>0.227793</c:v>
                </c:pt>
                <c:pt idx="18">
                  <c:v>0.218976</c:v>
                </c:pt>
                <c:pt idx="19">
                  <c:v>0.221909</c:v>
                </c:pt>
                <c:pt idx="20">
                  <c:v>0.214197</c:v>
                </c:pt>
                <c:pt idx="21">
                  <c:v>0.2009</c:v>
                </c:pt>
                <c:pt idx="22">
                  <c:v>0.20031199999999999</c:v>
                </c:pt>
                <c:pt idx="23">
                  <c:v>0.200068</c:v>
                </c:pt>
                <c:pt idx="24">
                  <c:v>0.21104600000000001</c:v>
                </c:pt>
                <c:pt idx="25">
                  <c:v>0.21431900000000001</c:v>
                </c:pt>
                <c:pt idx="26">
                  <c:v>0.19800799999999999</c:v>
                </c:pt>
                <c:pt idx="27">
                  <c:v>0.224384</c:v>
                </c:pt>
                <c:pt idx="28">
                  <c:v>0.21567900000000001</c:v>
                </c:pt>
                <c:pt idx="29">
                  <c:v>0.223695</c:v>
                </c:pt>
                <c:pt idx="30">
                  <c:v>0.21779799999999999</c:v>
                </c:pt>
                <c:pt idx="31">
                  <c:v>0.21620200000000001</c:v>
                </c:pt>
                <c:pt idx="32">
                  <c:v>0.206312</c:v>
                </c:pt>
                <c:pt idx="33">
                  <c:v>0.194934</c:v>
                </c:pt>
                <c:pt idx="34">
                  <c:v>0.20648900000000001</c:v>
                </c:pt>
                <c:pt idx="35">
                  <c:v>0.20843600000000001</c:v>
                </c:pt>
                <c:pt idx="36">
                  <c:v>0.21791099999999999</c:v>
                </c:pt>
                <c:pt idx="37">
                  <c:v>0.23607300000000001</c:v>
                </c:pt>
                <c:pt idx="38">
                  <c:v>0.22137399999999999</c:v>
                </c:pt>
                <c:pt idx="39">
                  <c:v>0.23780699999999999</c:v>
                </c:pt>
                <c:pt idx="40">
                  <c:v>0.22475600000000001</c:v>
                </c:pt>
                <c:pt idx="41">
                  <c:v>0.23408200000000001</c:v>
                </c:pt>
                <c:pt idx="42">
                  <c:v>0.22959499999999999</c:v>
                </c:pt>
                <c:pt idx="43">
                  <c:v>0.235984</c:v>
                </c:pt>
                <c:pt idx="44">
                  <c:v>0.22833600000000001</c:v>
                </c:pt>
                <c:pt idx="45">
                  <c:v>0.21166499999999999</c:v>
                </c:pt>
                <c:pt idx="46">
                  <c:v>0.21881800000000001</c:v>
                </c:pt>
                <c:pt idx="47">
                  <c:v>0.20996799999999999</c:v>
                </c:pt>
                <c:pt idx="48">
                  <c:v>0.21623899999999999</c:v>
                </c:pt>
                <c:pt idx="49">
                  <c:v>0.228907</c:v>
                </c:pt>
                <c:pt idx="50">
                  <c:v>0.194523</c:v>
                </c:pt>
                <c:pt idx="51">
                  <c:v>0.22578100000000001</c:v>
                </c:pt>
                <c:pt idx="52">
                  <c:v>0.21660199999999999</c:v>
                </c:pt>
                <c:pt idx="53">
                  <c:v>0.22182299999999999</c:v>
                </c:pt>
                <c:pt idx="54">
                  <c:v>0.211752</c:v>
                </c:pt>
                <c:pt idx="55">
                  <c:v>0.21509700000000001</c:v>
                </c:pt>
                <c:pt idx="56">
                  <c:v>0.21487100000000001</c:v>
                </c:pt>
                <c:pt idx="57">
                  <c:v>0.20897399999999999</c:v>
                </c:pt>
                <c:pt idx="58">
                  <c:v>0.216727</c:v>
                </c:pt>
                <c:pt idx="59">
                  <c:v>0.222663</c:v>
                </c:pt>
                <c:pt idx="60">
                  <c:v>0.23575399999999999</c:v>
                </c:pt>
                <c:pt idx="61">
                  <c:v>0.26067699999999999</c:v>
                </c:pt>
                <c:pt idx="62">
                  <c:v>0.233933</c:v>
                </c:pt>
                <c:pt idx="63">
                  <c:v>0.25886300000000001</c:v>
                </c:pt>
                <c:pt idx="64">
                  <c:v>0.25528499999999998</c:v>
                </c:pt>
                <c:pt idx="65">
                  <c:v>0.27269100000000002</c:v>
                </c:pt>
                <c:pt idx="66">
                  <c:v>0.25470300000000001</c:v>
                </c:pt>
                <c:pt idx="67">
                  <c:v>0.25805600000000001</c:v>
                </c:pt>
                <c:pt idx="68">
                  <c:v>0.25065199999999999</c:v>
                </c:pt>
                <c:pt idx="69">
                  <c:v>0.24149399999999999</c:v>
                </c:pt>
                <c:pt idx="70">
                  <c:v>0.241095</c:v>
                </c:pt>
                <c:pt idx="71">
                  <c:v>0.23721400000000001</c:v>
                </c:pt>
                <c:pt idx="72">
                  <c:v>0.25028499999999998</c:v>
                </c:pt>
                <c:pt idx="73">
                  <c:v>0.27</c:v>
                </c:pt>
                <c:pt idx="74">
                  <c:v>0.23937700000000001</c:v>
                </c:pt>
                <c:pt idx="75">
                  <c:v>0.27348499999999998</c:v>
                </c:pt>
                <c:pt idx="76">
                  <c:v>0.26552599999999998</c:v>
                </c:pt>
                <c:pt idx="77">
                  <c:v>0.28372700000000001</c:v>
                </c:pt>
                <c:pt idx="78">
                  <c:v>0.26411800000000002</c:v>
                </c:pt>
                <c:pt idx="79">
                  <c:v>0.26239400000000002</c:v>
                </c:pt>
                <c:pt idx="80">
                  <c:v>0.25742300000000001</c:v>
                </c:pt>
                <c:pt idx="81">
                  <c:v>0.24346799999999999</c:v>
                </c:pt>
                <c:pt idx="82">
                  <c:v>0.25355899999999998</c:v>
                </c:pt>
                <c:pt idx="83">
                  <c:v>0.25531700000000002</c:v>
                </c:pt>
                <c:pt idx="84">
                  <c:v>0.26263700000000001</c:v>
                </c:pt>
                <c:pt idx="85">
                  <c:v>0.29822100000000001</c:v>
                </c:pt>
                <c:pt idx="86">
                  <c:v>0.27119399999999999</c:v>
                </c:pt>
                <c:pt idx="87">
                  <c:v>0.294931</c:v>
                </c:pt>
                <c:pt idx="88">
                  <c:v>0.293043</c:v>
                </c:pt>
                <c:pt idx="89">
                  <c:v>0.31068200000000001</c:v>
                </c:pt>
                <c:pt idx="90">
                  <c:v>0.29963299999999998</c:v>
                </c:pt>
                <c:pt idx="91">
                  <c:v>0.29553699999999999</c:v>
                </c:pt>
                <c:pt idx="92">
                  <c:v>0.281831</c:v>
                </c:pt>
                <c:pt idx="93">
                  <c:v>0.268204</c:v>
                </c:pt>
                <c:pt idx="94">
                  <c:v>0.27305800000000002</c:v>
                </c:pt>
                <c:pt idx="95">
                  <c:v>0.27091300000000001</c:v>
                </c:pt>
                <c:pt idx="96">
                  <c:v>0.28813100000000003</c:v>
                </c:pt>
                <c:pt idx="97">
                  <c:v>0.299483</c:v>
                </c:pt>
                <c:pt idx="98">
                  <c:v>0.27360400000000001</c:v>
                </c:pt>
                <c:pt idx="99">
                  <c:v>0.29345399999999999</c:v>
                </c:pt>
                <c:pt idx="100">
                  <c:v>0.28676400000000002</c:v>
                </c:pt>
                <c:pt idx="101">
                  <c:v>0.30529699999999999</c:v>
                </c:pt>
                <c:pt idx="102">
                  <c:v>0.30586000000000002</c:v>
                </c:pt>
                <c:pt idx="103">
                  <c:v>0.30882100000000001</c:v>
                </c:pt>
                <c:pt idx="104">
                  <c:v>0.296678</c:v>
                </c:pt>
                <c:pt idx="105">
                  <c:v>0.27672000000000002</c:v>
                </c:pt>
                <c:pt idx="106">
                  <c:v>0.28468399999999999</c:v>
                </c:pt>
                <c:pt idx="107">
                  <c:v>0.280364</c:v>
                </c:pt>
                <c:pt idx="108">
                  <c:v>0.30419299999999999</c:v>
                </c:pt>
                <c:pt idx="109">
                  <c:v>0.32031100000000001</c:v>
                </c:pt>
                <c:pt idx="110">
                  <c:v>0.29747499999999999</c:v>
                </c:pt>
                <c:pt idx="111">
                  <c:v>0.33013100000000001</c:v>
                </c:pt>
                <c:pt idx="112">
                  <c:v>0.31618299999999999</c:v>
                </c:pt>
                <c:pt idx="113">
                  <c:v>0.32393899999999998</c:v>
                </c:pt>
                <c:pt idx="114">
                  <c:v>0.31681599999999999</c:v>
                </c:pt>
                <c:pt idx="115">
                  <c:v>0.32185399999999997</c:v>
                </c:pt>
                <c:pt idx="116">
                  <c:v>0.31005899999999997</c:v>
                </c:pt>
                <c:pt idx="117">
                  <c:v>0.28905399999999998</c:v>
                </c:pt>
                <c:pt idx="118">
                  <c:v>0.29605599999999999</c:v>
                </c:pt>
                <c:pt idx="119">
                  <c:v>0.30086400000000002</c:v>
                </c:pt>
                <c:pt idx="120">
                  <c:v>0.32305400000000001</c:v>
                </c:pt>
                <c:pt idx="121">
                  <c:v>0.34896899999999997</c:v>
                </c:pt>
                <c:pt idx="122">
                  <c:v>0.32021300000000003</c:v>
                </c:pt>
                <c:pt idx="123">
                  <c:v>0.35242200000000001</c:v>
                </c:pt>
                <c:pt idx="124">
                  <c:v>0.343331</c:v>
                </c:pt>
                <c:pt idx="125">
                  <c:v>0.35532999999999998</c:v>
                </c:pt>
                <c:pt idx="126">
                  <c:v>0.34601199999999999</c:v>
                </c:pt>
                <c:pt idx="127">
                  <c:v>0.34535900000000003</c:v>
                </c:pt>
                <c:pt idx="128">
                  <c:v>0.33802500000000002</c:v>
                </c:pt>
                <c:pt idx="129">
                  <c:v>0.31575799999999998</c:v>
                </c:pt>
                <c:pt idx="130">
                  <c:v>0.32052399999999998</c:v>
                </c:pt>
                <c:pt idx="131">
                  <c:v>0.32578499999999999</c:v>
                </c:pt>
                <c:pt idx="132">
                  <c:v>0.357437</c:v>
                </c:pt>
                <c:pt idx="133">
                  <c:v>0.35560700000000001</c:v>
                </c:pt>
                <c:pt idx="134">
                  <c:v>0.33323799999999998</c:v>
                </c:pt>
                <c:pt idx="135">
                  <c:v>0.358566</c:v>
                </c:pt>
                <c:pt idx="136">
                  <c:v>0.34875600000000001</c:v>
                </c:pt>
                <c:pt idx="137">
                  <c:v>0.36321199999999998</c:v>
                </c:pt>
                <c:pt idx="138">
                  <c:v>0.34462300000000001</c:v>
                </c:pt>
                <c:pt idx="139">
                  <c:v>0.34836600000000001</c:v>
                </c:pt>
                <c:pt idx="140">
                  <c:v>0.340669</c:v>
                </c:pt>
                <c:pt idx="141">
                  <c:v>0.31788699999999998</c:v>
                </c:pt>
                <c:pt idx="142">
                  <c:v>0.32637300000000002</c:v>
                </c:pt>
                <c:pt idx="143">
                  <c:v>0.32317200000000001</c:v>
                </c:pt>
                <c:pt idx="144">
                  <c:v>0.34365200000000001</c:v>
                </c:pt>
                <c:pt idx="145">
                  <c:v>0.353933</c:v>
                </c:pt>
                <c:pt idx="146">
                  <c:v>0.32306699999999999</c:v>
                </c:pt>
                <c:pt idx="147">
                  <c:v>0.34408300000000003</c:v>
                </c:pt>
                <c:pt idx="148">
                  <c:v>0.33425899999999997</c:v>
                </c:pt>
                <c:pt idx="149">
                  <c:v>0.34964400000000001</c:v>
                </c:pt>
                <c:pt idx="150">
                  <c:v>0.332457</c:v>
                </c:pt>
                <c:pt idx="151">
                  <c:v>0.33239299999999999</c:v>
                </c:pt>
                <c:pt idx="152">
                  <c:v>0.32802599999999998</c:v>
                </c:pt>
                <c:pt idx="153">
                  <c:v>0.31536700000000001</c:v>
                </c:pt>
                <c:pt idx="154">
                  <c:v>0.32777600000000001</c:v>
                </c:pt>
                <c:pt idx="155">
                  <c:v>0.33022200000000002</c:v>
                </c:pt>
                <c:pt idx="156">
                  <c:v>0.34694700000000001</c:v>
                </c:pt>
                <c:pt idx="157">
                  <c:v>0.32655200000000001</c:v>
                </c:pt>
                <c:pt idx="158">
                  <c:v>0.307952</c:v>
                </c:pt>
                <c:pt idx="159">
                  <c:v>0.349995</c:v>
                </c:pt>
                <c:pt idx="160">
                  <c:v>0.33848699999999998</c:v>
                </c:pt>
                <c:pt idx="161">
                  <c:v>0.34558699999999998</c:v>
                </c:pt>
                <c:pt idx="162">
                  <c:v>0.33444200000000002</c:v>
                </c:pt>
                <c:pt idx="163">
                  <c:v>0.33533400000000002</c:v>
                </c:pt>
                <c:pt idx="164">
                  <c:v>0.32550099999999998</c:v>
                </c:pt>
                <c:pt idx="165">
                  <c:v>0.31653900000000001</c:v>
                </c:pt>
                <c:pt idx="166">
                  <c:v>0.325125</c:v>
                </c:pt>
                <c:pt idx="167">
                  <c:v>0.32317200000000001</c:v>
                </c:pt>
                <c:pt idx="168">
                  <c:v>0.34178700000000001</c:v>
                </c:pt>
                <c:pt idx="169">
                  <c:v>0.33489000000000002</c:v>
                </c:pt>
                <c:pt idx="170">
                  <c:v>0.29660599999999998</c:v>
                </c:pt>
                <c:pt idx="171">
                  <c:v>0.32754100000000003</c:v>
                </c:pt>
                <c:pt idx="172">
                  <c:v>0.31523099999999998</c:v>
                </c:pt>
                <c:pt idx="173">
                  <c:v>0.33079700000000001</c:v>
                </c:pt>
                <c:pt idx="174">
                  <c:v>0.31195699999999998</c:v>
                </c:pt>
                <c:pt idx="175">
                  <c:v>0.31749500000000003</c:v>
                </c:pt>
                <c:pt idx="176">
                  <c:v>0.31139499999999998</c:v>
                </c:pt>
                <c:pt idx="177">
                  <c:v>0.30209000000000003</c:v>
                </c:pt>
                <c:pt idx="178">
                  <c:v>0.30909500000000001</c:v>
                </c:pt>
                <c:pt idx="179">
                  <c:v>0.29743900000000001</c:v>
                </c:pt>
                <c:pt idx="180">
                  <c:v>0.31990800000000003</c:v>
                </c:pt>
                <c:pt idx="181">
                  <c:v>0.33458300000000002</c:v>
                </c:pt>
                <c:pt idx="182">
                  <c:v>0.307533</c:v>
                </c:pt>
                <c:pt idx="183">
                  <c:v>0.326015</c:v>
                </c:pt>
                <c:pt idx="184">
                  <c:v>0.31623200000000001</c:v>
                </c:pt>
                <c:pt idx="185">
                  <c:v>0.33153899999999997</c:v>
                </c:pt>
                <c:pt idx="186">
                  <c:v>0.31560300000000002</c:v>
                </c:pt>
                <c:pt idx="187">
                  <c:v>0.31739099999999998</c:v>
                </c:pt>
                <c:pt idx="188">
                  <c:v>0.31576599999999999</c:v>
                </c:pt>
                <c:pt idx="189">
                  <c:v>0.30649999999999999</c:v>
                </c:pt>
                <c:pt idx="190">
                  <c:v>0.31073699999999999</c:v>
                </c:pt>
                <c:pt idx="191">
                  <c:v>0.31379200000000002</c:v>
                </c:pt>
                <c:pt idx="192">
                  <c:v>0.326992</c:v>
                </c:pt>
                <c:pt idx="193">
                  <c:v>0.34832099999999999</c:v>
                </c:pt>
                <c:pt idx="194">
                  <c:v>0.31757200000000002</c:v>
                </c:pt>
                <c:pt idx="195">
                  <c:v>0.35811500000000002</c:v>
                </c:pt>
                <c:pt idx="196">
                  <c:v>0.34651100000000001</c:v>
                </c:pt>
                <c:pt idx="197">
                  <c:v>0.350304</c:v>
                </c:pt>
                <c:pt idx="198">
                  <c:v>0.34975299999999998</c:v>
                </c:pt>
                <c:pt idx="199">
                  <c:v>0.35171999999999998</c:v>
                </c:pt>
                <c:pt idx="200">
                  <c:v>0.35832000000000003</c:v>
                </c:pt>
                <c:pt idx="201">
                  <c:v>0.341553</c:v>
                </c:pt>
                <c:pt idx="202">
                  <c:v>0.356682</c:v>
                </c:pt>
                <c:pt idx="203">
                  <c:v>0.35973100000000002</c:v>
                </c:pt>
                <c:pt idx="204">
                  <c:v>0.36755500000000002</c:v>
                </c:pt>
                <c:pt idx="205">
                  <c:v>0.32932699999999998</c:v>
                </c:pt>
                <c:pt idx="206">
                  <c:v>0.321465</c:v>
                </c:pt>
                <c:pt idx="207">
                  <c:v>0.35395599999999999</c:v>
                </c:pt>
                <c:pt idx="208">
                  <c:v>0.33413599999999999</c:v>
                </c:pt>
                <c:pt idx="209">
                  <c:v>0.31779099999999999</c:v>
                </c:pt>
                <c:pt idx="210">
                  <c:v>0.28927599999999998</c:v>
                </c:pt>
                <c:pt idx="211">
                  <c:v>0.31587199999999999</c:v>
                </c:pt>
                <c:pt idx="212">
                  <c:v>0.33257999999999999</c:v>
                </c:pt>
                <c:pt idx="213">
                  <c:v>0.31196499999999999</c:v>
                </c:pt>
                <c:pt idx="214">
                  <c:v>0.31287300000000001</c:v>
                </c:pt>
                <c:pt idx="215">
                  <c:v>0.30188300000000001</c:v>
                </c:pt>
                <c:pt idx="216">
                  <c:v>0.341584</c:v>
                </c:pt>
                <c:pt idx="217">
                  <c:v>0.370278</c:v>
                </c:pt>
                <c:pt idx="218">
                  <c:v>0.29251100000000002</c:v>
                </c:pt>
                <c:pt idx="219">
                  <c:v>0.31768299999999999</c:v>
                </c:pt>
                <c:pt idx="220">
                  <c:v>0.29330899999999999</c:v>
                </c:pt>
                <c:pt idx="221">
                  <c:v>0.32012000000000002</c:v>
                </c:pt>
                <c:pt idx="222">
                  <c:v>0.31343700000000002</c:v>
                </c:pt>
                <c:pt idx="223">
                  <c:v>0.309257</c:v>
                </c:pt>
                <c:pt idx="224">
                  <c:v>0.34081299999999998</c:v>
                </c:pt>
                <c:pt idx="225">
                  <c:v>0.34512199999999998</c:v>
                </c:pt>
                <c:pt idx="226">
                  <c:v>0.32445400000000002</c:v>
                </c:pt>
                <c:pt idx="227">
                  <c:v>0.31875700000000001</c:v>
                </c:pt>
                <c:pt idx="228">
                  <c:v>0.35569000000000001</c:v>
                </c:pt>
                <c:pt idx="229">
                  <c:v>0.36657699999999999</c:v>
                </c:pt>
                <c:pt idx="230">
                  <c:v>0.305537</c:v>
                </c:pt>
                <c:pt idx="231">
                  <c:v>0.31129899999999999</c:v>
                </c:pt>
                <c:pt idx="232">
                  <c:v>0.29207300000000003</c:v>
                </c:pt>
                <c:pt idx="233">
                  <c:v>0.28236099999999997</c:v>
                </c:pt>
                <c:pt idx="234">
                  <c:v>0.323546</c:v>
                </c:pt>
                <c:pt idx="235">
                  <c:v>0.333005</c:v>
                </c:pt>
                <c:pt idx="236">
                  <c:v>0.34750999999999999</c:v>
                </c:pt>
                <c:pt idx="237">
                  <c:v>0.32402700000000001</c:v>
                </c:pt>
                <c:pt idx="238">
                  <c:v>0.34056500000000001</c:v>
                </c:pt>
                <c:pt idx="239">
                  <c:v>0.34504800000000002</c:v>
                </c:pt>
                <c:pt idx="240">
                  <c:v>0.36020000000000002</c:v>
                </c:pt>
                <c:pt idx="241">
                  <c:v>0.37248500000000001</c:v>
                </c:pt>
                <c:pt idx="242">
                  <c:v>0.322577</c:v>
                </c:pt>
                <c:pt idx="243">
                  <c:v>0.36007699999999998</c:v>
                </c:pt>
                <c:pt idx="244">
                  <c:v>0.32983099999999999</c:v>
                </c:pt>
                <c:pt idx="245">
                  <c:v>0.31254399999999999</c:v>
                </c:pt>
                <c:pt idx="246">
                  <c:v>0.30396800000000002</c:v>
                </c:pt>
                <c:pt idx="247">
                  <c:v>0.30972499999999997</c:v>
                </c:pt>
                <c:pt idx="248">
                  <c:v>0.34576200000000001</c:v>
                </c:pt>
                <c:pt idx="249">
                  <c:v>0.32541599999999998</c:v>
                </c:pt>
                <c:pt idx="250">
                  <c:v>0.33163700000000002</c:v>
                </c:pt>
                <c:pt idx="251">
                  <c:v>0.34013199999999999</c:v>
                </c:pt>
                <c:pt idx="252">
                  <c:v>0.35288199999999997</c:v>
                </c:pt>
                <c:pt idx="253">
                  <c:v>0.38979000000000003</c:v>
                </c:pt>
                <c:pt idx="254">
                  <c:v>0.324355</c:v>
                </c:pt>
                <c:pt idx="255">
                  <c:v>0.35479699999999997</c:v>
                </c:pt>
                <c:pt idx="256">
                  <c:v>0.33361800000000003</c:v>
                </c:pt>
                <c:pt idx="257">
                  <c:v>0.30370200000000003</c:v>
                </c:pt>
                <c:pt idx="258">
                  <c:v>0.31310399999999999</c:v>
                </c:pt>
                <c:pt idx="259">
                  <c:v>0.36640800000000001</c:v>
                </c:pt>
                <c:pt idx="260">
                  <c:v>0.33378200000000002</c:v>
                </c:pt>
                <c:pt idx="261">
                  <c:v>0.304919</c:v>
                </c:pt>
                <c:pt idx="262">
                  <c:v>0.34507100000000002</c:v>
                </c:pt>
                <c:pt idx="263">
                  <c:v>0.33795700000000001</c:v>
                </c:pt>
                <c:pt idx="264">
                  <c:v>0.34895799999999999</c:v>
                </c:pt>
                <c:pt idx="265">
                  <c:v>0.335783</c:v>
                </c:pt>
                <c:pt idx="266">
                  <c:v>0.298846</c:v>
                </c:pt>
                <c:pt idx="267">
                  <c:v>0.34695399999999998</c:v>
                </c:pt>
                <c:pt idx="268">
                  <c:v>0.360765</c:v>
                </c:pt>
                <c:pt idx="269">
                  <c:v>0.33202999999999999</c:v>
                </c:pt>
                <c:pt idx="270">
                  <c:v>0.34311599999999998</c:v>
                </c:pt>
                <c:pt idx="271">
                  <c:v>0.39996399999999999</c:v>
                </c:pt>
                <c:pt idx="272">
                  <c:v>0.39763100000000001</c:v>
                </c:pt>
                <c:pt idx="273">
                  <c:v>0.349856</c:v>
                </c:pt>
                <c:pt idx="274">
                  <c:v>0.38705299999999998</c:v>
                </c:pt>
                <c:pt idx="275">
                  <c:v>0.37103399999999997</c:v>
                </c:pt>
                <c:pt idx="276">
                  <c:v>0.37361100000000003</c:v>
                </c:pt>
                <c:pt idx="277">
                  <c:v>0.38697300000000001</c:v>
                </c:pt>
                <c:pt idx="278">
                  <c:v>0.34484199999999998</c:v>
                </c:pt>
                <c:pt idx="279">
                  <c:v>0.38571299999999997</c:v>
                </c:pt>
                <c:pt idx="280">
                  <c:v>0.32596700000000001</c:v>
                </c:pt>
                <c:pt idx="281">
                  <c:v>0.35709200000000002</c:v>
                </c:pt>
                <c:pt idx="282">
                  <c:v>0.376357</c:v>
                </c:pt>
                <c:pt idx="283">
                  <c:v>0.39518399999999998</c:v>
                </c:pt>
                <c:pt idx="284">
                  <c:v>0.39895000000000003</c:v>
                </c:pt>
                <c:pt idx="285">
                  <c:v>0.347223</c:v>
                </c:pt>
                <c:pt idx="286">
                  <c:v>0.39862900000000001</c:v>
                </c:pt>
                <c:pt idx="287">
                  <c:v>0.38694899999999999</c:v>
                </c:pt>
                <c:pt idx="288">
                  <c:v>0.37762099999999998</c:v>
                </c:pt>
                <c:pt idx="289">
                  <c:v>0.396451</c:v>
                </c:pt>
                <c:pt idx="290">
                  <c:v>0.34243200000000001</c:v>
                </c:pt>
                <c:pt idx="291">
                  <c:v>0.38134899999999999</c:v>
                </c:pt>
                <c:pt idx="292">
                  <c:v>0.37396099999999999</c:v>
                </c:pt>
                <c:pt idx="293">
                  <c:v>0.39631899999999998</c:v>
                </c:pt>
                <c:pt idx="294">
                  <c:v>0.36159599999999997</c:v>
                </c:pt>
                <c:pt idx="295">
                  <c:v>0.382384</c:v>
                </c:pt>
                <c:pt idx="296">
                  <c:v>0.370753</c:v>
                </c:pt>
                <c:pt idx="297">
                  <c:v>0.34245199999999998</c:v>
                </c:pt>
                <c:pt idx="298">
                  <c:v>0.403225</c:v>
                </c:pt>
                <c:pt idx="299">
                  <c:v>0.35611100000000001</c:v>
                </c:pt>
                <c:pt idx="300">
                  <c:v>0.35634399999999999</c:v>
                </c:pt>
                <c:pt idx="301">
                  <c:v>0.38583899999999999</c:v>
                </c:pt>
                <c:pt idx="302">
                  <c:v>0.323992</c:v>
                </c:pt>
                <c:pt idx="303">
                  <c:v>0.36164299999999999</c:v>
                </c:pt>
                <c:pt idx="304">
                  <c:v>0.34736600000000001</c:v>
                </c:pt>
                <c:pt idx="305">
                  <c:v>0.37371300000000002</c:v>
                </c:pt>
                <c:pt idx="306">
                  <c:v>0.30812</c:v>
                </c:pt>
                <c:pt idx="307">
                  <c:v>0.35827300000000001</c:v>
                </c:pt>
                <c:pt idx="308">
                  <c:v>0.35410199999999997</c:v>
                </c:pt>
                <c:pt idx="309">
                  <c:v>0.33263500000000001</c:v>
                </c:pt>
                <c:pt idx="310">
                  <c:v>0.34620800000000002</c:v>
                </c:pt>
                <c:pt idx="311">
                  <c:v>0.30936599999999997</c:v>
                </c:pt>
                <c:pt idx="312">
                  <c:v>0.37144300000000002</c:v>
                </c:pt>
                <c:pt idx="313">
                  <c:v>0.38301000000000002</c:v>
                </c:pt>
                <c:pt idx="314">
                  <c:v>0.32807900000000001</c:v>
                </c:pt>
                <c:pt idx="315">
                  <c:v>0.33323399999999997</c:v>
                </c:pt>
                <c:pt idx="316">
                  <c:v>0.35281499999999999</c:v>
                </c:pt>
                <c:pt idx="317">
                  <c:v>0.400059</c:v>
                </c:pt>
                <c:pt idx="318">
                  <c:v>0.35445900000000002</c:v>
                </c:pt>
                <c:pt idx="319">
                  <c:v>0.379388</c:v>
                </c:pt>
                <c:pt idx="320">
                  <c:v>0.35972999999999999</c:v>
                </c:pt>
                <c:pt idx="321">
                  <c:v>0.32745099999999999</c:v>
                </c:pt>
                <c:pt idx="322">
                  <c:v>0.30952000000000002</c:v>
                </c:pt>
                <c:pt idx="323">
                  <c:v>0.3392</c:v>
                </c:pt>
                <c:pt idx="324">
                  <c:v>0.333816</c:v>
                </c:pt>
                <c:pt idx="325">
                  <c:v>0.320353</c:v>
                </c:pt>
                <c:pt idx="326">
                  <c:v>0.33340399999999998</c:v>
                </c:pt>
                <c:pt idx="327">
                  <c:v>0.366512</c:v>
                </c:pt>
                <c:pt idx="328">
                  <c:v>0.36273699999999998</c:v>
                </c:pt>
                <c:pt idx="329">
                  <c:v>0.361371</c:v>
                </c:pt>
                <c:pt idx="330">
                  <c:v>0.32535700000000001</c:v>
                </c:pt>
                <c:pt idx="331">
                  <c:v>0.35041099999999997</c:v>
                </c:pt>
                <c:pt idx="332">
                  <c:v>0.34495500000000001</c:v>
                </c:pt>
                <c:pt idx="333">
                  <c:v>0.31311299999999997</c:v>
                </c:pt>
                <c:pt idx="334">
                  <c:v>0.34224599999999999</c:v>
                </c:pt>
                <c:pt idx="335">
                  <c:v>0.34078700000000001</c:v>
                </c:pt>
                <c:pt idx="336">
                  <c:v>0.33435199999999998</c:v>
                </c:pt>
                <c:pt idx="337">
                  <c:v>0.30529699999999999</c:v>
                </c:pt>
                <c:pt idx="338">
                  <c:v>0.27299899999999999</c:v>
                </c:pt>
                <c:pt idx="339">
                  <c:v>0.30220200000000003</c:v>
                </c:pt>
                <c:pt idx="340">
                  <c:v>0.28720000000000001</c:v>
                </c:pt>
                <c:pt idx="341">
                  <c:v>0.28969200000000001</c:v>
                </c:pt>
                <c:pt idx="342">
                  <c:v>0.29492000000000002</c:v>
                </c:pt>
                <c:pt idx="343">
                  <c:v>0.30002899999999999</c:v>
                </c:pt>
                <c:pt idx="344">
                  <c:v>0.30189500000000002</c:v>
                </c:pt>
                <c:pt idx="345">
                  <c:v>0.27843299999999999</c:v>
                </c:pt>
                <c:pt idx="346">
                  <c:v>0.29437200000000002</c:v>
                </c:pt>
                <c:pt idx="347">
                  <c:v>0.282914</c:v>
                </c:pt>
                <c:pt idx="348">
                  <c:v>0.30199399999999998</c:v>
                </c:pt>
                <c:pt idx="349">
                  <c:v>0.31331599999999998</c:v>
                </c:pt>
                <c:pt idx="350">
                  <c:v>0.27957399999999999</c:v>
                </c:pt>
                <c:pt idx="351">
                  <c:v>0.29988999999999999</c:v>
                </c:pt>
                <c:pt idx="352">
                  <c:v>0.30922300000000003</c:v>
                </c:pt>
                <c:pt idx="353">
                  <c:v>0.33097799999999999</c:v>
                </c:pt>
                <c:pt idx="354">
                  <c:v>0.32610699999999998</c:v>
                </c:pt>
                <c:pt idx="355">
                  <c:v>0.33833999999999997</c:v>
                </c:pt>
                <c:pt idx="356">
                  <c:v>0.31115500000000001</c:v>
                </c:pt>
                <c:pt idx="357">
                  <c:v>0.30197299999999999</c:v>
                </c:pt>
                <c:pt idx="358">
                  <c:v>0.31564599999999998</c:v>
                </c:pt>
                <c:pt idx="359">
                  <c:v>0.311921</c:v>
                </c:pt>
                <c:pt idx="360">
                  <c:v>0.32803300000000002</c:v>
                </c:pt>
                <c:pt idx="361">
                  <c:v>0.31662899999999999</c:v>
                </c:pt>
                <c:pt idx="362">
                  <c:v>0.29519200000000001</c:v>
                </c:pt>
                <c:pt idx="363">
                  <c:v>0.32810800000000001</c:v>
                </c:pt>
                <c:pt idx="364">
                  <c:v>0.32796799999999998</c:v>
                </c:pt>
                <c:pt idx="365">
                  <c:v>0.34516799999999997</c:v>
                </c:pt>
                <c:pt idx="366">
                  <c:v>0.34034900000000001</c:v>
                </c:pt>
                <c:pt idx="367">
                  <c:v>0.34187899999999999</c:v>
                </c:pt>
                <c:pt idx="368">
                  <c:v>0.33395200000000003</c:v>
                </c:pt>
                <c:pt idx="369">
                  <c:v>0.30677599999999999</c:v>
                </c:pt>
                <c:pt idx="370">
                  <c:v>0.31400899999999998</c:v>
                </c:pt>
                <c:pt idx="371">
                  <c:v>0.31707999999999997</c:v>
                </c:pt>
                <c:pt idx="372">
                  <c:v>0.34876800000000002</c:v>
                </c:pt>
                <c:pt idx="373">
                  <c:v>0.34807500000000002</c:v>
                </c:pt>
                <c:pt idx="374">
                  <c:v>0.32290799999999997</c:v>
                </c:pt>
                <c:pt idx="375">
                  <c:v>0.34226699999999999</c:v>
                </c:pt>
                <c:pt idx="376">
                  <c:v>0.335227</c:v>
                </c:pt>
                <c:pt idx="377">
                  <c:v>0.34464699999999998</c:v>
                </c:pt>
                <c:pt idx="378">
                  <c:v>0.34964699999999999</c:v>
                </c:pt>
                <c:pt idx="379">
                  <c:v>0.353184</c:v>
                </c:pt>
                <c:pt idx="380">
                  <c:v>0.343947</c:v>
                </c:pt>
                <c:pt idx="381">
                  <c:v>0.32908500000000002</c:v>
                </c:pt>
                <c:pt idx="382">
                  <c:v>0.33398099999999997</c:v>
                </c:pt>
                <c:pt idx="383">
                  <c:v>0.333005</c:v>
                </c:pt>
                <c:pt idx="384">
                  <c:v>0.36955399999999999</c:v>
                </c:pt>
                <c:pt idx="385">
                  <c:v>0.36218099999999998</c:v>
                </c:pt>
                <c:pt idx="386">
                  <c:v>0.33324900000000002</c:v>
                </c:pt>
                <c:pt idx="387">
                  <c:v>0.35421900000000001</c:v>
                </c:pt>
                <c:pt idx="388">
                  <c:v>0.34225699999999998</c:v>
                </c:pt>
                <c:pt idx="389">
                  <c:v>0.36808200000000002</c:v>
                </c:pt>
                <c:pt idx="390">
                  <c:v>0.36491200000000001</c:v>
                </c:pt>
                <c:pt idx="391">
                  <c:v>0.37309199999999998</c:v>
                </c:pt>
                <c:pt idx="392">
                  <c:v>0.35874</c:v>
                </c:pt>
                <c:pt idx="393">
                  <c:v>0.33193499999999998</c:v>
                </c:pt>
                <c:pt idx="394">
                  <c:v>0.34028599999999998</c:v>
                </c:pt>
                <c:pt idx="395">
                  <c:v>0.340586</c:v>
                </c:pt>
                <c:pt idx="396">
                  <c:v>0.36336499999999999</c:v>
                </c:pt>
                <c:pt idx="397">
                  <c:v>0.38715699999999997</c:v>
                </c:pt>
                <c:pt idx="398">
                  <c:v>0.34581899999999999</c:v>
                </c:pt>
                <c:pt idx="399">
                  <c:v>0.36742799999999998</c:v>
                </c:pt>
                <c:pt idx="400">
                  <c:v>0.36981999999999998</c:v>
                </c:pt>
                <c:pt idx="401">
                  <c:v>0.39361499999999999</c:v>
                </c:pt>
                <c:pt idx="402">
                  <c:v>0.39269100000000001</c:v>
                </c:pt>
                <c:pt idx="403">
                  <c:v>0.38673400000000002</c:v>
                </c:pt>
                <c:pt idx="404">
                  <c:v>0.375697</c:v>
                </c:pt>
                <c:pt idx="405">
                  <c:v>0.35126099999999999</c:v>
                </c:pt>
                <c:pt idx="406">
                  <c:v>0.36102800000000002</c:v>
                </c:pt>
                <c:pt idx="407">
                  <c:v>0.36593799999999999</c:v>
                </c:pt>
                <c:pt idx="408">
                  <c:v>0.38308300000000001</c:v>
                </c:pt>
                <c:pt idx="409">
                  <c:v>0.40384599999999998</c:v>
                </c:pt>
                <c:pt idx="410">
                  <c:v>0.34684900000000002</c:v>
                </c:pt>
                <c:pt idx="411">
                  <c:v>0.39245600000000003</c:v>
                </c:pt>
                <c:pt idx="412">
                  <c:v>0.382355</c:v>
                </c:pt>
                <c:pt idx="413">
                  <c:v>0.397397</c:v>
                </c:pt>
                <c:pt idx="414">
                  <c:v>0.38428499999999999</c:v>
                </c:pt>
                <c:pt idx="415">
                  <c:v>0.39288899999999999</c:v>
                </c:pt>
                <c:pt idx="416">
                  <c:v>0.38665100000000002</c:v>
                </c:pt>
                <c:pt idx="417">
                  <c:v>0.35962300000000003</c:v>
                </c:pt>
                <c:pt idx="418">
                  <c:v>0.37704700000000002</c:v>
                </c:pt>
                <c:pt idx="419">
                  <c:v>0.37150499999999997</c:v>
                </c:pt>
                <c:pt idx="420">
                  <c:v>0.39995700000000001</c:v>
                </c:pt>
                <c:pt idx="421">
                  <c:v>0.42390899999999998</c:v>
                </c:pt>
                <c:pt idx="422">
                  <c:v>0.38812799999999997</c:v>
                </c:pt>
                <c:pt idx="423">
                  <c:v>0.41728700000000002</c:v>
                </c:pt>
                <c:pt idx="424">
                  <c:v>0.42036099999999998</c:v>
                </c:pt>
                <c:pt idx="425">
                  <c:v>0.44563399999999997</c:v>
                </c:pt>
                <c:pt idx="426">
                  <c:v>0.44314799999999999</c:v>
                </c:pt>
                <c:pt idx="427">
                  <c:v>0.44573499999999999</c:v>
                </c:pt>
                <c:pt idx="428">
                  <c:v>0.42999399999999999</c:v>
                </c:pt>
                <c:pt idx="429">
                  <c:v>0.39930599999999999</c:v>
                </c:pt>
                <c:pt idx="430">
                  <c:v>0.41439300000000001</c:v>
                </c:pt>
                <c:pt idx="431">
                  <c:v>0.40753800000000001</c:v>
                </c:pt>
                <c:pt idx="432">
                  <c:v>0.43227100000000002</c:v>
                </c:pt>
                <c:pt idx="433">
                  <c:v>0.426373</c:v>
                </c:pt>
                <c:pt idx="434">
                  <c:v>0.37856499999999998</c:v>
                </c:pt>
                <c:pt idx="435">
                  <c:v>0.430087</c:v>
                </c:pt>
                <c:pt idx="436">
                  <c:v>0.43501200000000001</c:v>
                </c:pt>
                <c:pt idx="437">
                  <c:v>0.46047300000000002</c:v>
                </c:pt>
                <c:pt idx="438">
                  <c:v>0.45732299999999998</c:v>
                </c:pt>
                <c:pt idx="439">
                  <c:v>0.455899</c:v>
                </c:pt>
                <c:pt idx="440">
                  <c:v>0.44968599999999997</c:v>
                </c:pt>
                <c:pt idx="441">
                  <c:v>0.420236</c:v>
                </c:pt>
                <c:pt idx="442">
                  <c:v>0.45147700000000002</c:v>
                </c:pt>
                <c:pt idx="443">
                  <c:v>0.45144099999999998</c:v>
                </c:pt>
                <c:pt idx="444">
                  <c:v>0.47597499999999998</c:v>
                </c:pt>
                <c:pt idx="445">
                  <c:v>0.48006700000000002</c:v>
                </c:pt>
                <c:pt idx="446">
                  <c:v>0.44325399999999998</c:v>
                </c:pt>
                <c:pt idx="447">
                  <c:v>0.49035699999999999</c:v>
                </c:pt>
                <c:pt idx="448">
                  <c:v>0.47921200000000003</c:v>
                </c:pt>
                <c:pt idx="449">
                  <c:v>0.50594499999999998</c:v>
                </c:pt>
                <c:pt idx="450">
                  <c:v>0.51990099999999995</c:v>
                </c:pt>
                <c:pt idx="451">
                  <c:v>0.50902499999999995</c:v>
                </c:pt>
                <c:pt idx="452">
                  <c:v>0.49551099999999998</c:v>
                </c:pt>
                <c:pt idx="453">
                  <c:v>0.47283599999999998</c:v>
                </c:pt>
                <c:pt idx="454">
                  <c:v>0.48633700000000002</c:v>
                </c:pt>
                <c:pt idx="455">
                  <c:v>0.49398199999999998</c:v>
                </c:pt>
                <c:pt idx="456">
                  <c:v>0.51925699999999997</c:v>
                </c:pt>
                <c:pt idx="457">
                  <c:v>0.51505299999999998</c:v>
                </c:pt>
                <c:pt idx="458">
                  <c:v>0.483761</c:v>
                </c:pt>
                <c:pt idx="459">
                  <c:v>0.54253899999999999</c:v>
                </c:pt>
                <c:pt idx="460">
                  <c:v>0.52931099999999998</c:v>
                </c:pt>
                <c:pt idx="461">
                  <c:v>0.547848</c:v>
                </c:pt>
                <c:pt idx="462">
                  <c:v>0.55329799999999996</c:v>
                </c:pt>
                <c:pt idx="463">
                  <c:v>0.53974900000000003</c:v>
                </c:pt>
                <c:pt idx="464">
                  <c:v>0.53353700000000004</c:v>
                </c:pt>
                <c:pt idx="465">
                  <c:v>0.49338799999999999</c:v>
                </c:pt>
                <c:pt idx="466">
                  <c:v>0.50874900000000001</c:v>
                </c:pt>
                <c:pt idx="467">
                  <c:v>0.51779399999999998</c:v>
                </c:pt>
                <c:pt idx="468">
                  <c:v>0.54303100000000004</c:v>
                </c:pt>
                <c:pt idx="469">
                  <c:v>0.51785599999999998</c:v>
                </c:pt>
                <c:pt idx="470">
                  <c:v>0.48243399999999997</c:v>
                </c:pt>
                <c:pt idx="471">
                  <c:v>0.53418299999999996</c:v>
                </c:pt>
                <c:pt idx="472">
                  <c:v>0.51590199999999997</c:v>
                </c:pt>
                <c:pt idx="473">
                  <c:v>0.54427800000000004</c:v>
                </c:pt>
                <c:pt idx="474">
                  <c:v>0.52893500000000004</c:v>
                </c:pt>
                <c:pt idx="475">
                  <c:v>0.52106300000000005</c:v>
                </c:pt>
                <c:pt idx="476">
                  <c:v>0.51863400000000004</c:v>
                </c:pt>
                <c:pt idx="477">
                  <c:v>0.47457500000000002</c:v>
                </c:pt>
                <c:pt idx="478">
                  <c:v>0.49727900000000003</c:v>
                </c:pt>
                <c:pt idx="479">
                  <c:v>0.48954500000000001</c:v>
                </c:pt>
                <c:pt idx="480">
                  <c:v>0.52566100000000004</c:v>
                </c:pt>
                <c:pt idx="481">
                  <c:v>0.54172200000000004</c:v>
                </c:pt>
                <c:pt idx="482">
                  <c:v>0.489703</c:v>
                </c:pt>
                <c:pt idx="483">
                  <c:v>0.54282900000000001</c:v>
                </c:pt>
                <c:pt idx="484">
                  <c:v>0.55344499999999996</c:v>
                </c:pt>
                <c:pt idx="485">
                  <c:v>0.57883899999999999</c:v>
                </c:pt>
                <c:pt idx="486">
                  <c:v>0.56894100000000003</c:v>
                </c:pt>
                <c:pt idx="487">
                  <c:v>0.57260900000000003</c:v>
                </c:pt>
                <c:pt idx="488">
                  <c:v>0.54593999999999998</c:v>
                </c:pt>
                <c:pt idx="489">
                  <c:v>0.52197700000000002</c:v>
                </c:pt>
                <c:pt idx="490">
                  <c:v>0.54891699999999999</c:v>
                </c:pt>
                <c:pt idx="491">
                  <c:v>0.54742599999999997</c:v>
                </c:pt>
                <c:pt idx="492">
                  <c:v>0.57466899999999999</c:v>
                </c:pt>
                <c:pt idx="493">
                  <c:v>0.56709399999999999</c:v>
                </c:pt>
                <c:pt idx="494">
                  <c:v>0.50396600000000003</c:v>
                </c:pt>
                <c:pt idx="495">
                  <c:v>0.58410899999999999</c:v>
                </c:pt>
                <c:pt idx="496">
                  <c:v>0.58069700000000002</c:v>
                </c:pt>
                <c:pt idx="497">
                  <c:v>0.587754</c:v>
                </c:pt>
                <c:pt idx="498">
                  <c:v>0.58642799999999995</c:v>
                </c:pt>
                <c:pt idx="499">
                  <c:v>0.58490600000000004</c:v>
                </c:pt>
                <c:pt idx="500">
                  <c:v>0.56257500000000005</c:v>
                </c:pt>
                <c:pt idx="501">
                  <c:v>0.52930500000000003</c:v>
                </c:pt>
                <c:pt idx="502">
                  <c:v>0.55815999999999999</c:v>
                </c:pt>
                <c:pt idx="503">
                  <c:v>0.56583000000000006</c:v>
                </c:pt>
                <c:pt idx="504">
                  <c:v>0.585318</c:v>
                </c:pt>
                <c:pt idx="505">
                  <c:v>0.56567000000000001</c:v>
                </c:pt>
                <c:pt idx="506">
                  <c:v>0.52870099999999998</c:v>
                </c:pt>
                <c:pt idx="507">
                  <c:v>0.57515700000000003</c:v>
                </c:pt>
                <c:pt idx="508">
                  <c:v>0.56746099999999999</c:v>
                </c:pt>
                <c:pt idx="509">
                  <c:v>0.58038599999999996</c:v>
                </c:pt>
                <c:pt idx="510">
                  <c:v>0.566168</c:v>
                </c:pt>
                <c:pt idx="511">
                  <c:v>0.585368</c:v>
                </c:pt>
                <c:pt idx="512">
                  <c:v>0.57646799999999998</c:v>
                </c:pt>
                <c:pt idx="513">
                  <c:v>0.54655200000000004</c:v>
                </c:pt>
                <c:pt idx="514">
                  <c:v>0.55731399999999998</c:v>
                </c:pt>
                <c:pt idx="515">
                  <c:v>0.57210700000000003</c:v>
                </c:pt>
                <c:pt idx="516">
                  <c:v>0.60175000000000001</c:v>
                </c:pt>
                <c:pt idx="517">
                  <c:v>0.58037899999999998</c:v>
                </c:pt>
                <c:pt idx="518">
                  <c:v>0.572523</c:v>
                </c:pt>
                <c:pt idx="519">
                  <c:v>0.61708200000000002</c:v>
                </c:pt>
                <c:pt idx="520">
                  <c:v>0.58320000000000005</c:v>
                </c:pt>
                <c:pt idx="521">
                  <c:v>0.60618300000000003</c:v>
                </c:pt>
                <c:pt idx="522">
                  <c:v>0.587866</c:v>
                </c:pt>
                <c:pt idx="523">
                  <c:v>0.60489099999999996</c:v>
                </c:pt>
                <c:pt idx="524">
                  <c:v>0.590916</c:v>
                </c:pt>
                <c:pt idx="525">
                  <c:v>0.56160399999999999</c:v>
                </c:pt>
                <c:pt idx="526">
                  <c:v>0.57922899999999999</c:v>
                </c:pt>
                <c:pt idx="527">
                  <c:v>0.58391700000000002</c:v>
                </c:pt>
                <c:pt idx="528">
                  <c:v>0.64232199999999995</c:v>
                </c:pt>
                <c:pt idx="529">
                  <c:v>0.60470100000000004</c:v>
                </c:pt>
                <c:pt idx="530">
                  <c:v>0.56422300000000003</c:v>
                </c:pt>
                <c:pt idx="531">
                  <c:v>0.651088</c:v>
                </c:pt>
                <c:pt idx="532">
                  <c:v>0.63048899999999997</c:v>
                </c:pt>
                <c:pt idx="533">
                  <c:v>0.65992499999999998</c:v>
                </c:pt>
                <c:pt idx="534">
                  <c:v>0.64263999999999999</c:v>
                </c:pt>
                <c:pt idx="535">
                  <c:v>0.62049299999999996</c:v>
                </c:pt>
                <c:pt idx="536">
                  <c:v>0.60741000000000001</c:v>
                </c:pt>
                <c:pt idx="537">
                  <c:v>0.57447899999999996</c:v>
                </c:pt>
                <c:pt idx="538">
                  <c:v>0.60438400000000003</c:v>
                </c:pt>
                <c:pt idx="539">
                  <c:v>0.59757700000000002</c:v>
                </c:pt>
                <c:pt idx="540">
                  <c:v>0.61678100000000002</c:v>
                </c:pt>
                <c:pt idx="541">
                  <c:v>0.63358499999999995</c:v>
                </c:pt>
                <c:pt idx="542">
                  <c:v>0.58401199999999998</c:v>
                </c:pt>
                <c:pt idx="543">
                  <c:v>0.65022199999999997</c:v>
                </c:pt>
                <c:pt idx="544">
                  <c:v>0.63809400000000005</c:v>
                </c:pt>
                <c:pt idx="545">
                  <c:v>0.67449800000000004</c:v>
                </c:pt>
                <c:pt idx="546">
                  <c:v>0.65389799999999998</c:v>
                </c:pt>
                <c:pt idx="547">
                  <c:v>0.63205800000000001</c:v>
                </c:pt>
                <c:pt idx="548">
                  <c:v>0.63800400000000002</c:v>
                </c:pt>
                <c:pt idx="549">
                  <c:v>0.58135599999999998</c:v>
                </c:pt>
                <c:pt idx="550">
                  <c:v>0.60936299999999999</c:v>
                </c:pt>
                <c:pt idx="551">
                  <c:v>0.60404599999999997</c:v>
                </c:pt>
                <c:pt idx="552">
                  <c:v>0.62692800000000004</c:v>
                </c:pt>
                <c:pt idx="553">
                  <c:v>0.62076600000000004</c:v>
                </c:pt>
                <c:pt idx="554">
                  <c:v>0.57985299999999995</c:v>
                </c:pt>
                <c:pt idx="555">
                  <c:v>0.64612700000000001</c:v>
                </c:pt>
                <c:pt idx="556">
                  <c:v>0.65015299999999998</c:v>
                </c:pt>
                <c:pt idx="557">
                  <c:v>0.68167800000000001</c:v>
                </c:pt>
                <c:pt idx="558">
                  <c:v>0.64899399999999996</c:v>
                </c:pt>
                <c:pt idx="559">
                  <c:v>0.65395000000000003</c:v>
                </c:pt>
                <c:pt idx="560">
                  <c:v>0.63448199999999999</c:v>
                </c:pt>
                <c:pt idx="561">
                  <c:v>0.60179199999999999</c:v>
                </c:pt>
                <c:pt idx="562">
                  <c:v>0.62522</c:v>
                </c:pt>
                <c:pt idx="563">
                  <c:v>0.60884899999999997</c:v>
                </c:pt>
                <c:pt idx="564">
                  <c:v>0.63380999999999998</c:v>
                </c:pt>
                <c:pt idx="565">
                  <c:v>0.62610200000000005</c:v>
                </c:pt>
                <c:pt idx="566">
                  <c:v>0.61426199999999997</c:v>
                </c:pt>
                <c:pt idx="567">
                  <c:v>0.61018600000000001</c:v>
                </c:pt>
                <c:pt idx="568">
                  <c:v>0.55283700000000002</c:v>
                </c:pt>
                <c:pt idx="569">
                  <c:v>0.61895199999999995</c:v>
                </c:pt>
                <c:pt idx="570">
                  <c:v>0.63608799999999999</c:v>
                </c:pt>
                <c:pt idx="571">
                  <c:v>0.62353700000000001</c:v>
                </c:pt>
                <c:pt idx="572">
                  <c:v>0.60689199999999999</c:v>
                </c:pt>
                <c:pt idx="573">
                  <c:v>0.57289800000000002</c:v>
                </c:pt>
                <c:pt idx="574">
                  <c:v>0.59189700000000001</c:v>
                </c:pt>
                <c:pt idx="575">
                  <c:v>0.61158999999999997</c:v>
                </c:pt>
                <c:pt idx="576">
                  <c:v>0.62446299999999999</c:v>
                </c:pt>
                <c:pt idx="577">
                  <c:v>0.60718399999999995</c:v>
                </c:pt>
                <c:pt idx="578">
                  <c:v>0.54667100000000002</c:v>
                </c:pt>
                <c:pt idx="579">
                  <c:v>0.66661800000000004</c:v>
                </c:pt>
                <c:pt idx="580">
                  <c:v>0.64163899999999996</c:v>
                </c:pt>
                <c:pt idx="581">
                  <c:v>0.68187299999999995</c:v>
                </c:pt>
                <c:pt idx="582">
                  <c:v>0.64483900000000005</c:v>
                </c:pt>
                <c:pt idx="583">
                  <c:v>0.63866699999999998</c:v>
                </c:pt>
                <c:pt idx="584">
                  <c:v>0.64267300000000005</c:v>
                </c:pt>
                <c:pt idx="585">
                  <c:v>0.61061299999999996</c:v>
                </c:pt>
                <c:pt idx="586">
                  <c:v>0.64131499999999997</c:v>
                </c:pt>
                <c:pt idx="587">
                  <c:v>0.64336499999999996</c:v>
                </c:pt>
                <c:pt idx="588">
                  <c:v>0.67984500000000003</c:v>
                </c:pt>
                <c:pt idx="589">
                  <c:v>0.67661800000000005</c:v>
                </c:pt>
                <c:pt idx="590">
                  <c:v>0.63717299999999999</c:v>
                </c:pt>
                <c:pt idx="591">
                  <c:v>0.72550899999999996</c:v>
                </c:pt>
                <c:pt idx="592">
                  <c:v>0.70998399999999995</c:v>
                </c:pt>
                <c:pt idx="593">
                  <c:v>0.73532200000000003</c:v>
                </c:pt>
                <c:pt idx="594">
                  <c:v>0.72029600000000005</c:v>
                </c:pt>
                <c:pt idx="595">
                  <c:v>0.70219600000000004</c:v>
                </c:pt>
                <c:pt idx="596">
                  <c:v>0.67490499999999998</c:v>
                </c:pt>
                <c:pt idx="597">
                  <c:v>0.62806399999999996</c:v>
                </c:pt>
                <c:pt idx="598">
                  <c:v>0.65695300000000001</c:v>
                </c:pt>
                <c:pt idx="599">
                  <c:v>0.67513999999999996</c:v>
                </c:pt>
                <c:pt idx="600">
                  <c:v>0.67156499999999997</c:v>
                </c:pt>
                <c:pt idx="601">
                  <c:v>0.68027800000000005</c:v>
                </c:pt>
                <c:pt idx="602">
                  <c:v>0.64568000000000003</c:v>
                </c:pt>
                <c:pt idx="603">
                  <c:v>0.72293700000000005</c:v>
                </c:pt>
                <c:pt idx="604">
                  <c:v>0.69847199999999998</c:v>
                </c:pt>
                <c:pt idx="605">
                  <c:v>0.739232</c:v>
                </c:pt>
                <c:pt idx="606">
                  <c:v>0.69084299999999998</c:v>
                </c:pt>
                <c:pt idx="607">
                  <c:v>0.70069499999999996</c:v>
                </c:pt>
                <c:pt idx="608">
                  <c:v>0.70766300000000004</c:v>
                </c:pt>
                <c:pt idx="609">
                  <c:v>0.65865200000000002</c:v>
                </c:pt>
                <c:pt idx="610">
                  <c:v>0.68771700000000002</c:v>
                </c:pt>
                <c:pt idx="611">
                  <c:v>0.66509600000000002</c:v>
                </c:pt>
                <c:pt idx="612">
                  <c:v>0.69534200000000002</c:v>
                </c:pt>
                <c:pt idx="613">
                  <c:v>0.66715199999999997</c:v>
                </c:pt>
                <c:pt idx="614">
                  <c:v>0.69601800000000003</c:v>
                </c:pt>
                <c:pt idx="615">
                  <c:v>0.75542299999999996</c:v>
                </c:pt>
                <c:pt idx="616">
                  <c:v>0.74894400000000005</c:v>
                </c:pt>
                <c:pt idx="617">
                  <c:v>0.77346099999999995</c:v>
                </c:pt>
                <c:pt idx="618">
                  <c:v>0.76015500000000003</c:v>
                </c:pt>
                <c:pt idx="619">
                  <c:v>0.74587899999999996</c:v>
                </c:pt>
                <c:pt idx="620">
                  <c:v>0.73561500000000002</c:v>
                </c:pt>
                <c:pt idx="621">
                  <c:v>0.68376099999999995</c:v>
                </c:pt>
                <c:pt idx="622">
                  <c:v>0.72187100000000004</c:v>
                </c:pt>
                <c:pt idx="623">
                  <c:v>0.699376</c:v>
                </c:pt>
                <c:pt idx="624">
                  <c:v>0.71159399999999995</c:v>
                </c:pt>
                <c:pt idx="625">
                  <c:v>0.71232799999999996</c:v>
                </c:pt>
                <c:pt idx="626">
                  <c:v>0.66611900000000002</c:v>
                </c:pt>
                <c:pt idx="627">
                  <c:v>0.780358</c:v>
                </c:pt>
                <c:pt idx="628">
                  <c:v>0.76371</c:v>
                </c:pt>
                <c:pt idx="629">
                  <c:v>0.75854900000000003</c:v>
                </c:pt>
                <c:pt idx="630">
                  <c:v>0.75191200000000002</c:v>
                </c:pt>
                <c:pt idx="631">
                  <c:v>0.75630699999999995</c:v>
                </c:pt>
                <c:pt idx="632">
                  <c:v>0.730931</c:v>
                </c:pt>
                <c:pt idx="633">
                  <c:v>0.67821600000000004</c:v>
                </c:pt>
                <c:pt idx="634">
                  <c:v>0.73126199999999997</c:v>
                </c:pt>
                <c:pt idx="635">
                  <c:v>0.69916</c:v>
                </c:pt>
                <c:pt idx="636">
                  <c:v>0.74988100000000002</c:v>
                </c:pt>
              </c:numCache>
            </c:numRef>
          </c:val>
          <c:smooth val="0"/>
          <c:extLst>
            <c:ext xmlns:c16="http://schemas.microsoft.com/office/drawing/2014/chart" uri="{C3380CC4-5D6E-409C-BE32-E72D297353CC}">
              <c16:uniqueId val="{00000001-9642-4D4B-B620-2D1998070311}"/>
            </c:ext>
          </c:extLst>
        </c:ser>
        <c:dLbls>
          <c:showLegendKey val="0"/>
          <c:showVal val="0"/>
          <c:showCatName val="0"/>
          <c:showSerName val="0"/>
          <c:showPercent val="0"/>
          <c:showBubbleSize val="0"/>
        </c:dLbls>
        <c:smooth val="0"/>
        <c:axId val="232586176"/>
        <c:axId val="232587840"/>
      </c:lineChart>
      <c:dateAx>
        <c:axId val="232586176"/>
        <c:scaling>
          <c:orientation val="minMax"/>
        </c:scaling>
        <c:delete val="0"/>
        <c:axPos val="b"/>
        <c:numFmt formatCode="m/d/yyyy"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32587840"/>
        <c:crosses val="autoZero"/>
        <c:auto val="1"/>
        <c:lblOffset val="100"/>
        <c:baseTimeUnit val="months"/>
      </c:dateAx>
      <c:valAx>
        <c:axId val="23258784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3258617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Annual Crossover Analysis</a:t>
            </a:r>
          </a:p>
          <a:p>
            <a:pPr>
              <a:defRPr/>
            </a:pPr>
            <a:r>
              <a:rPr lang="en-US"/>
              <a:t>1949-2025</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0"/>
          <c:order val="0"/>
          <c:tx>
            <c:strRef>
              <c:f>'Annual Data'!$B$1:$B$10</c:f>
              <c:strCache>
                <c:ptCount val="10"/>
                <c:pt idx="0">
                  <c:v>U.S. Energy Information Administration</c:v>
                </c:pt>
                <c:pt idx="1">
                  <c:v>March 2026 Monthly Energy Review</c:v>
                </c:pt>
                <c:pt idx="3">
                  <c:v>Release Date: March 26, 2026</c:v>
                </c:pt>
                <c:pt idx="4">
                  <c:v>Next Update: April 24, 2026</c:v>
                </c:pt>
                <c:pt idx="6">
                  <c:v>Table 1.3 Primary energy consumption by source</c:v>
                </c:pt>
                <c:pt idx="8">
                  <c:v>Coal Consumption</c:v>
                </c:pt>
                <c:pt idx="9">
                  <c:v>(Quadrillion Btu)</c:v>
                </c:pt>
              </c:strCache>
            </c:strRef>
          </c:tx>
          <c:spPr>
            <a:ln w="34925" cap="rnd">
              <a:solidFill>
                <a:schemeClr val="accent1"/>
              </a:solidFill>
              <a:round/>
            </a:ln>
            <a:effectLst>
              <a:outerShdw blurRad="40000" dist="23000" dir="5400000" rotWithShape="0">
                <a:srgbClr val="000000">
                  <a:alpha val="35000"/>
                </a:srgbClr>
              </a:outerShdw>
            </a:effectLst>
          </c:spPr>
          <c:marker>
            <c:symbol val="none"/>
          </c:marker>
          <c:cat>
            <c:numRef>
              <c:f>'Annual Data'!$A$11:$A$88</c:f>
              <c:numCache>
                <c:formatCode>General</c:formatCode>
                <c:ptCount val="78"/>
                <c:pt idx="1">
                  <c:v>1949</c:v>
                </c:pt>
                <c:pt idx="2">
                  <c:v>1950</c:v>
                </c:pt>
                <c:pt idx="3">
                  <c:v>1951</c:v>
                </c:pt>
                <c:pt idx="4">
                  <c:v>1952</c:v>
                </c:pt>
                <c:pt idx="5">
                  <c:v>1953</c:v>
                </c:pt>
                <c:pt idx="6">
                  <c:v>1954</c:v>
                </c:pt>
                <c:pt idx="7">
                  <c:v>1955</c:v>
                </c:pt>
                <c:pt idx="8">
                  <c:v>1956</c:v>
                </c:pt>
                <c:pt idx="9">
                  <c:v>1957</c:v>
                </c:pt>
                <c:pt idx="10">
                  <c:v>1958</c:v>
                </c:pt>
                <c:pt idx="11">
                  <c:v>1959</c:v>
                </c:pt>
                <c:pt idx="12">
                  <c:v>1960</c:v>
                </c:pt>
                <c:pt idx="13">
                  <c:v>1961</c:v>
                </c:pt>
                <c:pt idx="14">
                  <c:v>1962</c:v>
                </c:pt>
                <c:pt idx="15">
                  <c:v>1963</c:v>
                </c:pt>
                <c:pt idx="16">
                  <c:v>1964</c:v>
                </c:pt>
                <c:pt idx="17">
                  <c:v>1965</c:v>
                </c:pt>
                <c:pt idx="18">
                  <c:v>1966</c:v>
                </c:pt>
                <c:pt idx="19">
                  <c:v>1967</c:v>
                </c:pt>
                <c:pt idx="20">
                  <c:v>1968</c:v>
                </c:pt>
                <c:pt idx="21">
                  <c:v>1969</c:v>
                </c:pt>
                <c:pt idx="22">
                  <c:v>1970</c:v>
                </c:pt>
                <c:pt idx="23">
                  <c:v>1971</c:v>
                </c:pt>
                <c:pt idx="24">
                  <c:v>1972</c:v>
                </c:pt>
                <c:pt idx="25">
                  <c:v>1973</c:v>
                </c:pt>
                <c:pt idx="26">
                  <c:v>1974</c:v>
                </c:pt>
                <c:pt idx="27">
                  <c:v>1975</c:v>
                </c:pt>
                <c:pt idx="28">
                  <c:v>1976</c:v>
                </c:pt>
                <c:pt idx="29">
                  <c:v>1977</c:v>
                </c:pt>
                <c:pt idx="30">
                  <c:v>1978</c:v>
                </c:pt>
                <c:pt idx="31">
                  <c:v>1979</c:v>
                </c:pt>
                <c:pt idx="32">
                  <c:v>1980</c:v>
                </c:pt>
                <c:pt idx="33">
                  <c:v>1981</c:v>
                </c:pt>
                <c:pt idx="34">
                  <c:v>1982</c:v>
                </c:pt>
                <c:pt idx="35">
                  <c:v>1983</c:v>
                </c:pt>
                <c:pt idx="36">
                  <c:v>1984</c:v>
                </c:pt>
                <c:pt idx="37">
                  <c:v>1985</c:v>
                </c:pt>
                <c:pt idx="38">
                  <c:v>1986</c:v>
                </c:pt>
                <c:pt idx="39">
                  <c:v>1987</c:v>
                </c:pt>
                <c:pt idx="40">
                  <c:v>1988</c:v>
                </c:pt>
                <c:pt idx="41">
                  <c:v>1989</c:v>
                </c:pt>
                <c:pt idx="42">
                  <c:v>1990</c:v>
                </c:pt>
                <c:pt idx="43">
                  <c:v>1991</c:v>
                </c:pt>
                <c:pt idx="44">
                  <c:v>1992</c:v>
                </c:pt>
                <c:pt idx="45">
                  <c:v>1993</c:v>
                </c:pt>
                <c:pt idx="46">
                  <c:v>1994</c:v>
                </c:pt>
                <c:pt idx="47">
                  <c:v>1995</c:v>
                </c:pt>
                <c:pt idx="48">
                  <c:v>1996</c:v>
                </c:pt>
                <c:pt idx="49">
                  <c:v>1997</c:v>
                </c:pt>
                <c:pt idx="50">
                  <c:v>1998</c:v>
                </c:pt>
                <c:pt idx="51">
                  <c:v>1999</c:v>
                </c:pt>
                <c:pt idx="52">
                  <c:v>2000</c:v>
                </c:pt>
                <c:pt idx="53">
                  <c:v>2001</c:v>
                </c:pt>
                <c:pt idx="54">
                  <c:v>2002</c:v>
                </c:pt>
                <c:pt idx="55">
                  <c:v>2003</c:v>
                </c:pt>
                <c:pt idx="56">
                  <c:v>2004</c:v>
                </c:pt>
                <c:pt idx="57">
                  <c:v>2005</c:v>
                </c:pt>
                <c:pt idx="58">
                  <c:v>2006</c:v>
                </c:pt>
                <c:pt idx="59">
                  <c:v>2007</c:v>
                </c:pt>
                <c:pt idx="60">
                  <c:v>2008</c:v>
                </c:pt>
                <c:pt idx="61">
                  <c:v>2009</c:v>
                </c:pt>
                <c:pt idx="62">
                  <c:v>2010</c:v>
                </c:pt>
                <c:pt idx="63">
                  <c:v>2011</c:v>
                </c:pt>
                <c:pt idx="64">
                  <c:v>2012</c:v>
                </c:pt>
                <c:pt idx="65">
                  <c:v>2013</c:v>
                </c:pt>
                <c:pt idx="66">
                  <c:v>2014</c:v>
                </c:pt>
                <c:pt idx="67">
                  <c:v>2015</c:v>
                </c:pt>
                <c:pt idx="68">
                  <c:v>2016</c:v>
                </c:pt>
                <c:pt idx="69">
                  <c:v>2017</c:v>
                </c:pt>
                <c:pt idx="70">
                  <c:v>2018</c:v>
                </c:pt>
                <c:pt idx="71">
                  <c:v>2019</c:v>
                </c:pt>
                <c:pt idx="72">
                  <c:v>2020</c:v>
                </c:pt>
                <c:pt idx="73">
                  <c:v>2021</c:v>
                </c:pt>
                <c:pt idx="74">
                  <c:v>2022</c:v>
                </c:pt>
                <c:pt idx="75">
                  <c:v>2023</c:v>
                </c:pt>
                <c:pt idx="76">
                  <c:v>2024</c:v>
                </c:pt>
                <c:pt idx="77">
                  <c:v>2025</c:v>
                </c:pt>
              </c:numCache>
            </c:numRef>
          </c:cat>
          <c:val>
            <c:numRef>
              <c:f>'Annual Data'!$B$11:$B$88</c:f>
              <c:numCache>
                <c:formatCode>General</c:formatCode>
                <c:ptCount val="78"/>
                <c:pt idx="1">
                  <c:v>11.980905</c:v>
                </c:pt>
                <c:pt idx="2">
                  <c:v>12.347109</c:v>
                </c:pt>
                <c:pt idx="3">
                  <c:v>12.552996</c:v>
                </c:pt>
                <c:pt idx="4">
                  <c:v>11.306479</c:v>
                </c:pt>
                <c:pt idx="5">
                  <c:v>11.372684</c:v>
                </c:pt>
                <c:pt idx="6">
                  <c:v>9.7146670000000004</c:v>
                </c:pt>
                <c:pt idx="7">
                  <c:v>11.167259</c:v>
                </c:pt>
                <c:pt idx="8">
                  <c:v>11.349722999999999</c:v>
                </c:pt>
                <c:pt idx="9">
                  <c:v>10.820631000000001</c:v>
                </c:pt>
                <c:pt idx="10">
                  <c:v>9.5332869999999996</c:v>
                </c:pt>
                <c:pt idx="11">
                  <c:v>9.5183529999999994</c:v>
                </c:pt>
                <c:pt idx="12">
                  <c:v>9.8377850000000002</c:v>
                </c:pt>
                <c:pt idx="13">
                  <c:v>9.6233509999999995</c:v>
                </c:pt>
                <c:pt idx="14">
                  <c:v>9.9064540000000001</c:v>
                </c:pt>
                <c:pt idx="15">
                  <c:v>10.412538</c:v>
                </c:pt>
                <c:pt idx="16">
                  <c:v>10.964385</c:v>
                </c:pt>
                <c:pt idx="17">
                  <c:v>11.580608</c:v>
                </c:pt>
                <c:pt idx="18">
                  <c:v>12.143079999999999</c:v>
                </c:pt>
                <c:pt idx="19">
                  <c:v>11.91375</c:v>
                </c:pt>
                <c:pt idx="20">
                  <c:v>12.330677</c:v>
                </c:pt>
                <c:pt idx="21">
                  <c:v>12.381539999999999</c:v>
                </c:pt>
                <c:pt idx="22">
                  <c:v>12.264528</c:v>
                </c:pt>
                <c:pt idx="23">
                  <c:v>11.598411</c:v>
                </c:pt>
                <c:pt idx="24">
                  <c:v>12.076917</c:v>
                </c:pt>
                <c:pt idx="25">
                  <c:v>12.971489999999999</c:v>
                </c:pt>
                <c:pt idx="26">
                  <c:v>12.662877999999999</c:v>
                </c:pt>
                <c:pt idx="27">
                  <c:v>12.662786000000001</c:v>
                </c:pt>
                <c:pt idx="28">
                  <c:v>13.584066999999999</c:v>
                </c:pt>
                <c:pt idx="29">
                  <c:v>13.922103</c:v>
                </c:pt>
                <c:pt idx="30">
                  <c:v>13.765575</c:v>
                </c:pt>
                <c:pt idx="31">
                  <c:v>15.039586</c:v>
                </c:pt>
                <c:pt idx="32">
                  <c:v>15.422809000000001</c:v>
                </c:pt>
                <c:pt idx="33">
                  <c:v>15.907526000000001</c:v>
                </c:pt>
                <c:pt idx="34">
                  <c:v>15.321581</c:v>
                </c:pt>
                <c:pt idx="35">
                  <c:v>15.894442</c:v>
                </c:pt>
                <c:pt idx="36">
                  <c:v>17.070622</c:v>
                </c:pt>
                <c:pt idx="37">
                  <c:v>17.478428000000001</c:v>
                </c:pt>
                <c:pt idx="38">
                  <c:v>17.260404999999999</c:v>
                </c:pt>
                <c:pt idx="39">
                  <c:v>18.008451000000001</c:v>
                </c:pt>
                <c:pt idx="40">
                  <c:v>18.846312000000001</c:v>
                </c:pt>
                <c:pt idx="41">
                  <c:v>19.069762000000001</c:v>
                </c:pt>
                <c:pt idx="42">
                  <c:v>19.172635</c:v>
                </c:pt>
                <c:pt idx="43">
                  <c:v>18.991669999999999</c:v>
                </c:pt>
                <c:pt idx="44">
                  <c:v>19.122471000000001</c:v>
                </c:pt>
                <c:pt idx="45">
                  <c:v>19.835148</c:v>
                </c:pt>
                <c:pt idx="46">
                  <c:v>19.909462999999999</c:v>
                </c:pt>
                <c:pt idx="47">
                  <c:v>20.088726999999999</c:v>
                </c:pt>
                <c:pt idx="48">
                  <c:v>21.001913999999999</c:v>
                </c:pt>
                <c:pt idx="49">
                  <c:v>21.445411</c:v>
                </c:pt>
                <c:pt idx="50">
                  <c:v>21.655743999999999</c:v>
                </c:pt>
                <c:pt idx="51">
                  <c:v>21.622544000000001</c:v>
                </c:pt>
                <c:pt idx="52">
                  <c:v>22.579528</c:v>
                </c:pt>
                <c:pt idx="53">
                  <c:v>21.914268</c:v>
                </c:pt>
                <c:pt idx="54">
                  <c:v>21.903988999999999</c:v>
                </c:pt>
                <c:pt idx="55">
                  <c:v>22.320927999999999</c:v>
                </c:pt>
                <c:pt idx="56">
                  <c:v>22.466194999999999</c:v>
                </c:pt>
                <c:pt idx="57">
                  <c:v>22.796543</c:v>
                </c:pt>
                <c:pt idx="58">
                  <c:v>22.44716</c:v>
                </c:pt>
                <c:pt idx="59">
                  <c:v>22.749466000000002</c:v>
                </c:pt>
                <c:pt idx="60">
                  <c:v>22.387436999999998</c:v>
                </c:pt>
                <c:pt idx="61">
                  <c:v>19.691205</c:v>
                </c:pt>
                <c:pt idx="62">
                  <c:v>20.833967999999999</c:v>
                </c:pt>
                <c:pt idx="63">
                  <c:v>19.657783999999999</c:v>
                </c:pt>
                <c:pt idx="64">
                  <c:v>17.378233999999999</c:v>
                </c:pt>
                <c:pt idx="65">
                  <c:v>18.038633000000001</c:v>
                </c:pt>
                <c:pt idx="66">
                  <c:v>17.997631999999999</c:v>
                </c:pt>
                <c:pt idx="67">
                  <c:v>15.548870000000001</c:v>
                </c:pt>
                <c:pt idx="68">
                  <c:v>14.225904999999999</c:v>
                </c:pt>
                <c:pt idx="69">
                  <c:v>13.837465</c:v>
                </c:pt>
                <c:pt idx="70">
                  <c:v>13.251531999999999</c:v>
                </c:pt>
                <c:pt idx="71">
                  <c:v>11.315595</c:v>
                </c:pt>
                <c:pt idx="72">
                  <c:v>9.1811089999999993</c:v>
                </c:pt>
                <c:pt idx="73">
                  <c:v>10.548526000000001</c:v>
                </c:pt>
                <c:pt idx="74">
                  <c:v>9.8879389999999994</c:v>
                </c:pt>
                <c:pt idx="75">
                  <c:v>8.1707879999999999</c:v>
                </c:pt>
                <c:pt idx="76">
                  <c:v>7.9122130000000004</c:v>
                </c:pt>
                <c:pt idx="77">
                  <c:v>8.7095400000000005</c:v>
                </c:pt>
              </c:numCache>
            </c:numRef>
          </c:val>
          <c:smooth val="0"/>
          <c:extLst>
            <c:ext xmlns:c16="http://schemas.microsoft.com/office/drawing/2014/chart" uri="{C3380CC4-5D6E-409C-BE32-E72D297353CC}">
              <c16:uniqueId val="{00000000-319F-44F1-B2E3-65F1EE493F1B}"/>
            </c:ext>
          </c:extLst>
        </c:ser>
        <c:ser>
          <c:idx val="1"/>
          <c:order val="1"/>
          <c:tx>
            <c:strRef>
              <c:f>'Annual Data'!$L$1:$L$10</c:f>
              <c:strCache>
                <c:ptCount val="10"/>
                <c:pt idx="0">
                  <c:v>U.S. Energy Information Administration</c:v>
                </c:pt>
                <c:pt idx="1">
                  <c:v>March 2026 Monthly Energy Review</c:v>
                </c:pt>
                <c:pt idx="3">
                  <c:v>Release Date: March 26, 2026</c:v>
                </c:pt>
                <c:pt idx="4">
                  <c:v>Next Update: April 24, 2026</c:v>
                </c:pt>
                <c:pt idx="6">
                  <c:v>Table 1.3 Primary energy consumption by source</c:v>
                </c:pt>
                <c:pt idx="8">
                  <c:v>Total Renewable Energy Consumption</c:v>
                </c:pt>
                <c:pt idx="9">
                  <c:v>(Quadrillion Btu)</c:v>
                </c:pt>
              </c:strCache>
            </c:strRef>
          </c:tx>
          <c:spPr>
            <a:ln w="34925" cap="rnd">
              <a:solidFill>
                <a:schemeClr val="accent2"/>
              </a:solidFill>
              <a:round/>
            </a:ln>
            <a:effectLst>
              <a:outerShdw blurRad="40000" dist="23000" dir="5400000" rotWithShape="0">
                <a:srgbClr val="000000">
                  <a:alpha val="35000"/>
                </a:srgbClr>
              </a:outerShdw>
            </a:effectLst>
          </c:spPr>
          <c:marker>
            <c:symbol val="none"/>
          </c:marker>
          <c:cat>
            <c:numRef>
              <c:f>'Annual Data'!$A$11:$A$88</c:f>
              <c:numCache>
                <c:formatCode>General</c:formatCode>
                <c:ptCount val="78"/>
                <c:pt idx="1">
                  <c:v>1949</c:v>
                </c:pt>
                <c:pt idx="2">
                  <c:v>1950</c:v>
                </c:pt>
                <c:pt idx="3">
                  <c:v>1951</c:v>
                </c:pt>
                <c:pt idx="4">
                  <c:v>1952</c:v>
                </c:pt>
                <c:pt idx="5">
                  <c:v>1953</c:v>
                </c:pt>
                <c:pt idx="6">
                  <c:v>1954</c:v>
                </c:pt>
                <c:pt idx="7">
                  <c:v>1955</c:v>
                </c:pt>
                <c:pt idx="8">
                  <c:v>1956</c:v>
                </c:pt>
                <c:pt idx="9">
                  <c:v>1957</c:v>
                </c:pt>
                <c:pt idx="10">
                  <c:v>1958</c:v>
                </c:pt>
                <c:pt idx="11">
                  <c:v>1959</c:v>
                </c:pt>
                <c:pt idx="12">
                  <c:v>1960</c:v>
                </c:pt>
                <c:pt idx="13">
                  <c:v>1961</c:v>
                </c:pt>
                <c:pt idx="14">
                  <c:v>1962</c:v>
                </c:pt>
                <c:pt idx="15">
                  <c:v>1963</c:v>
                </c:pt>
                <c:pt idx="16">
                  <c:v>1964</c:v>
                </c:pt>
                <c:pt idx="17">
                  <c:v>1965</c:v>
                </c:pt>
                <c:pt idx="18">
                  <c:v>1966</c:v>
                </c:pt>
                <c:pt idx="19">
                  <c:v>1967</c:v>
                </c:pt>
                <c:pt idx="20">
                  <c:v>1968</c:v>
                </c:pt>
                <c:pt idx="21">
                  <c:v>1969</c:v>
                </c:pt>
                <c:pt idx="22">
                  <c:v>1970</c:v>
                </c:pt>
                <c:pt idx="23">
                  <c:v>1971</c:v>
                </c:pt>
                <c:pt idx="24">
                  <c:v>1972</c:v>
                </c:pt>
                <c:pt idx="25">
                  <c:v>1973</c:v>
                </c:pt>
                <c:pt idx="26">
                  <c:v>1974</c:v>
                </c:pt>
                <c:pt idx="27">
                  <c:v>1975</c:v>
                </c:pt>
                <c:pt idx="28">
                  <c:v>1976</c:v>
                </c:pt>
                <c:pt idx="29">
                  <c:v>1977</c:v>
                </c:pt>
                <c:pt idx="30">
                  <c:v>1978</c:v>
                </c:pt>
                <c:pt idx="31">
                  <c:v>1979</c:v>
                </c:pt>
                <c:pt idx="32">
                  <c:v>1980</c:v>
                </c:pt>
                <c:pt idx="33">
                  <c:v>1981</c:v>
                </c:pt>
                <c:pt idx="34">
                  <c:v>1982</c:v>
                </c:pt>
                <c:pt idx="35">
                  <c:v>1983</c:v>
                </c:pt>
                <c:pt idx="36">
                  <c:v>1984</c:v>
                </c:pt>
                <c:pt idx="37">
                  <c:v>1985</c:v>
                </c:pt>
                <c:pt idx="38">
                  <c:v>1986</c:v>
                </c:pt>
                <c:pt idx="39">
                  <c:v>1987</c:v>
                </c:pt>
                <c:pt idx="40">
                  <c:v>1988</c:v>
                </c:pt>
                <c:pt idx="41">
                  <c:v>1989</c:v>
                </c:pt>
                <c:pt idx="42">
                  <c:v>1990</c:v>
                </c:pt>
                <c:pt idx="43">
                  <c:v>1991</c:v>
                </c:pt>
                <c:pt idx="44">
                  <c:v>1992</c:v>
                </c:pt>
                <c:pt idx="45">
                  <c:v>1993</c:v>
                </c:pt>
                <c:pt idx="46">
                  <c:v>1994</c:v>
                </c:pt>
                <c:pt idx="47">
                  <c:v>1995</c:v>
                </c:pt>
                <c:pt idx="48">
                  <c:v>1996</c:v>
                </c:pt>
                <c:pt idx="49">
                  <c:v>1997</c:v>
                </c:pt>
                <c:pt idx="50">
                  <c:v>1998</c:v>
                </c:pt>
                <c:pt idx="51">
                  <c:v>1999</c:v>
                </c:pt>
                <c:pt idx="52">
                  <c:v>2000</c:v>
                </c:pt>
                <c:pt idx="53">
                  <c:v>2001</c:v>
                </c:pt>
                <c:pt idx="54">
                  <c:v>2002</c:v>
                </c:pt>
                <c:pt idx="55">
                  <c:v>2003</c:v>
                </c:pt>
                <c:pt idx="56">
                  <c:v>2004</c:v>
                </c:pt>
                <c:pt idx="57">
                  <c:v>2005</c:v>
                </c:pt>
                <c:pt idx="58">
                  <c:v>2006</c:v>
                </c:pt>
                <c:pt idx="59">
                  <c:v>2007</c:v>
                </c:pt>
                <c:pt idx="60">
                  <c:v>2008</c:v>
                </c:pt>
                <c:pt idx="61">
                  <c:v>2009</c:v>
                </c:pt>
                <c:pt idx="62">
                  <c:v>2010</c:v>
                </c:pt>
                <c:pt idx="63">
                  <c:v>2011</c:v>
                </c:pt>
                <c:pt idx="64">
                  <c:v>2012</c:v>
                </c:pt>
                <c:pt idx="65">
                  <c:v>2013</c:v>
                </c:pt>
                <c:pt idx="66">
                  <c:v>2014</c:v>
                </c:pt>
                <c:pt idx="67">
                  <c:v>2015</c:v>
                </c:pt>
                <c:pt idx="68">
                  <c:v>2016</c:v>
                </c:pt>
                <c:pt idx="69">
                  <c:v>2017</c:v>
                </c:pt>
                <c:pt idx="70">
                  <c:v>2018</c:v>
                </c:pt>
                <c:pt idx="71">
                  <c:v>2019</c:v>
                </c:pt>
                <c:pt idx="72">
                  <c:v>2020</c:v>
                </c:pt>
                <c:pt idx="73">
                  <c:v>2021</c:v>
                </c:pt>
                <c:pt idx="74">
                  <c:v>2022</c:v>
                </c:pt>
                <c:pt idx="75">
                  <c:v>2023</c:v>
                </c:pt>
                <c:pt idx="76">
                  <c:v>2024</c:v>
                </c:pt>
                <c:pt idx="77">
                  <c:v>2025</c:v>
                </c:pt>
              </c:numCache>
            </c:numRef>
          </c:cat>
          <c:val>
            <c:numRef>
              <c:f>'Annual Data'!$L$11:$L$88</c:f>
              <c:numCache>
                <c:formatCode>General</c:formatCode>
                <c:ptCount val="78"/>
                <c:pt idx="1">
                  <c:v>1.872627</c:v>
                </c:pt>
                <c:pt idx="2">
                  <c:v>1.906525</c:v>
                </c:pt>
                <c:pt idx="3">
                  <c:v>1.8908</c:v>
                </c:pt>
                <c:pt idx="4">
                  <c:v>1.8486940000000001</c:v>
                </c:pt>
                <c:pt idx="5">
                  <c:v>1.792616</c:v>
                </c:pt>
                <c:pt idx="6">
                  <c:v>1.775242</c:v>
                </c:pt>
                <c:pt idx="7">
                  <c:v>1.82074</c:v>
                </c:pt>
                <c:pt idx="8">
                  <c:v>1.843178</c:v>
                </c:pt>
                <c:pt idx="9">
                  <c:v>1.7885979999999999</c:v>
                </c:pt>
                <c:pt idx="10">
                  <c:v>1.8131360000000001</c:v>
                </c:pt>
                <c:pt idx="11">
                  <c:v>1.8344929999999999</c:v>
                </c:pt>
                <c:pt idx="12">
                  <c:v>1.8298730000000001</c:v>
                </c:pt>
                <c:pt idx="13">
                  <c:v>1.8257730000000001</c:v>
                </c:pt>
                <c:pt idx="14">
                  <c:v>1.887502</c:v>
                </c:pt>
                <c:pt idx="15">
                  <c:v>1.9004829999999999</c:v>
                </c:pt>
                <c:pt idx="16">
                  <c:v>1.9526859999999999</c:v>
                </c:pt>
                <c:pt idx="17">
                  <c:v>2.007517</c:v>
                </c:pt>
                <c:pt idx="18">
                  <c:v>2.0449890000000002</c:v>
                </c:pt>
                <c:pt idx="19">
                  <c:v>2.1088529999999999</c:v>
                </c:pt>
                <c:pt idx="20">
                  <c:v>2.1916609999999999</c:v>
                </c:pt>
                <c:pt idx="21">
                  <c:v>2.3074180000000002</c:v>
                </c:pt>
                <c:pt idx="22">
                  <c:v>2.289021</c:v>
                </c:pt>
                <c:pt idx="23">
                  <c:v>2.3538329999999998</c:v>
                </c:pt>
                <c:pt idx="24">
                  <c:v>2.4494910000000001</c:v>
                </c:pt>
                <c:pt idx="25">
                  <c:v>2.4755440000000002</c:v>
                </c:pt>
                <c:pt idx="26">
                  <c:v>2.586001</c:v>
                </c:pt>
                <c:pt idx="27">
                  <c:v>2.5441669999999998</c:v>
                </c:pt>
                <c:pt idx="28">
                  <c:v>2.704698</c:v>
                </c:pt>
                <c:pt idx="29">
                  <c:v>2.6134740000000001</c:v>
                </c:pt>
                <c:pt idx="30">
                  <c:v>3.014948</c:v>
                </c:pt>
                <c:pt idx="31">
                  <c:v>3.1310310000000001</c:v>
                </c:pt>
                <c:pt idx="32">
                  <c:v>3.4453779999999998</c:v>
                </c:pt>
                <c:pt idx="33">
                  <c:v>3.5159220000000002</c:v>
                </c:pt>
                <c:pt idx="34">
                  <c:v>3.7457959999999999</c:v>
                </c:pt>
                <c:pt idx="35">
                  <c:v>4.0691639999999998</c:v>
                </c:pt>
                <c:pt idx="36">
                  <c:v>4.1041210000000001</c:v>
                </c:pt>
                <c:pt idx="37">
                  <c:v>4.0181740000000001</c:v>
                </c:pt>
                <c:pt idx="38">
                  <c:v>3.9704730000000001</c:v>
                </c:pt>
                <c:pt idx="39">
                  <c:v>3.7744430000000002</c:v>
                </c:pt>
                <c:pt idx="40">
                  <c:v>3.8226819999999999</c:v>
                </c:pt>
                <c:pt idx="41">
                  <c:v>4.2061359999999999</c:v>
                </c:pt>
                <c:pt idx="42">
                  <c:v>3.862708</c:v>
                </c:pt>
                <c:pt idx="43">
                  <c:v>3.9014310000000001</c:v>
                </c:pt>
                <c:pt idx="44">
                  <c:v>3.9317479999999998</c:v>
                </c:pt>
                <c:pt idx="45">
                  <c:v>4.0070379999999997</c:v>
                </c:pt>
                <c:pt idx="46">
                  <c:v>4.0564609999999997</c:v>
                </c:pt>
                <c:pt idx="47">
                  <c:v>4.2966430000000004</c:v>
                </c:pt>
                <c:pt idx="48">
                  <c:v>4.4814990000000003</c:v>
                </c:pt>
                <c:pt idx="49">
                  <c:v>4.4633750000000001</c:v>
                </c:pt>
                <c:pt idx="50">
                  <c:v>4.1726989999999997</c:v>
                </c:pt>
                <c:pt idx="51">
                  <c:v>4.2007599999999998</c:v>
                </c:pt>
                <c:pt idx="52">
                  <c:v>4.095599</c:v>
                </c:pt>
                <c:pt idx="53">
                  <c:v>3.5119449999999999</c:v>
                </c:pt>
                <c:pt idx="54">
                  <c:v>3.7661560000000001</c:v>
                </c:pt>
                <c:pt idx="55">
                  <c:v>3.9158789999999999</c:v>
                </c:pt>
                <c:pt idx="56">
                  <c:v>4.1055270000000004</c:v>
                </c:pt>
                <c:pt idx="57">
                  <c:v>4.2329040000000004</c:v>
                </c:pt>
                <c:pt idx="58">
                  <c:v>4.4802720000000003</c:v>
                </c:pt>
                <c:pt idx="59">
                  <c:v>4.5948589999999996</c:v>
                </c:pt>
                <c:pt idx="60">
                  <c:v>5.0677050000000001</c:v>
                </c:pt>
                <c:pt idx="61">
                  <c:v>5.2925370000000003</c:v>
                </c:pt>
                <c:pt idx="62">
                  <c:v>5.8956770000000001</c:v>
                </c:pt>
                <c:pt idx="63">
                  <c:v>6.3080590000000001</c:v>
                </c:pt>
                <c:pt idx="64">
                  <c:v>6.1503620000000003</c:v>
                </c:pt>
                <c:pt idx="65">
                  <c:v>6.5870230000000003</c:v>
                </c:pt>
                <c:pt idx="66">
                  <c:v>6.7961260000000001</c:v>
                </c:pt>
                <c:pt idx="67">
                  <c:v>6.8230740000000001</c:v>
                </c:pt>
                <c:pt idx="68">
                  <c:v>7.1101049999999999</c:v>
                </c:pt>
                <c:pt idx="69">
                  <c:v>7.3741859999999999</c:v>
                </c:pt>
                <c:pt idx="70">
                  <c:v>7.526065</c:v>
                </c:pt>
                <c:pt idx="71">
                  <c:v>7.5856640000000004</c:v>
                </c:pt>
                <c:pt idx="72">
                  <c:v>7.2897449999999999</c:v>
                </c:pt>
                <c:pt idx="73">
                  <c:v>7.6452840000000002</c:v>
                </c:pt>
                <c:pt idx="74">
                  <c:v>8.2136689999999994</c:v>
                </c:pt>
                <c:pt idx="75">
                  <c:v>8.2926129999999993</c:v>
                </c:pt>
                <c:pt idx="76">
                  <c:v>8.6992370000000001</c:v>
                </c:pt>
                <c:pt idx="77">
                  <c:v>8.7787260000000007</c:v>
                </c:pt>
              </c:numCache>
            </c:numRef>
          </c:val>
          <c:smooth val="0"/>
          <c:extLst>
            <c:ext xmlns:c16="http://schemas.microsoft.com/office/drawing/2014/chart" uri="{C3380CC4-5D6E-409C-BE32-E72D297353CC}">
              <c16:uniqueId val="{00000001-319F-44F1-B2E3-65F1EE493F1B}"/>
            </c:ext>
          </c:extLst>
        </c:ser>
        <c:dLbls>
          <c:showLegendKey val="0"/>
          <c:showVal val="0"/>
          <c:showCatName val="0"/>
          <c:showSerName val="0"/>
          <c:showPercent val="0"/>
          <c:showBubbleSize val="0"/>
        </c:dLbls>
        <c:smooth val="0"/>
        <c:axId val="1493724207"/>
        <c:axId val="1493735855"/>
      </c:lineChart>
      <c:catAx>
        <c:axId val="1493724207"/>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93735855"/>
        <c:crosses val="autoZero"/>
        <c:auto val="1"/>
        <c:lblAlgn val="ctr"/>
        <c:lblOffset val="100"/>
        <c:noMultiLvlLbl val="0"/>
      </c:catAx>
      <c:valAx>
        <c:axId val="149373585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937242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5</xdr:col>
      <xdr:colOff>27271</xdr:colOff>
      <xdr:row>0</xdr:row>
      <xdr:rowOff>142354</xdr:rowOff>
    </xdr:from>
    <xdr:to>
      <xdr:col>18</xdr:col>
      <xdr:colOff>60891</xdr:colOff>
      <xdr:row>24</xdr:row>
      <xdr:rowOff>124782</xdr:rowOff>
    </xdr:to>
    <xdr:graphicFrame macro="">
      <xdr:nvGraphicFramePr>
        <xdr:cNvPr id="2" name="Chart 1">
          <a:extLst>
            <a:ext uri="{FF2B5EF4-FFF2-40B4-BE49-F238E27FC236}">
              <a16:creationId xmlns:a16="http://schemas.microsoft.com/office/drawing/2014/main" id="{5D5AC2B8-2ED5-4E07-BFA2-7BF8A81E26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18</xdr:col>
      <xdr:colOff>193806</xdr:colOff>
      <xdr:row>636</xdr:row>
      <xdr:rowOff>16006</xdr:rowOff>
    </xdr:from>
    <xdr:to>
      <xdr:col>21</xdr:col>
      <xdr:colOff>193806</xdr:colOff>
      <xdr:row>760</xdr:row>
      <xdr:rowOff>146181</xdr:rowOff>
    </xdr:to>
    <mc:AlternateContent xmlns:mc="http://schemas.openxmlformats.org/markup-compatibility/2006">
      <mc:Choice xmlns:sle15="http://schemas.microsoft.com/office/drawing/2012/slicer" Requires="sle15">
        <xdr:graphicFrame macro="">
          <xdr:nvGraphicFramePr>
            <xdr:cNvPr id="3" name="Timeline">
              <a:extLst>
                <a:ext uri="{FF2B5EF4-FFF2-40B4-BE49-F238E27FC236}">
                  <a16:creationId xmlns:a16="http://schemas.microsoft.com/office/drawing/2014/main" id="{88881C58-1F28-47D3-822C-5B238C7A7E48}"/>
                </a:ext>
              </a:extLst>
            </xdr:cNvPr>
            <xdr:cNvGraphicFramePr/>
          </xdr:nvGraphicFramePr>
          <xdr:xfrm>
            <a:off x="0" y="0"/>
            <a:ext cx="0" cy="0"/>
          </xdr:xfrm>
          <a:graphic>
            <a:graphicData uri="http://schemas.microsoft.com/office/drawing/2010/slicer">
              <sle:slicer xmlns:sle="http://schemas.microsoft.com/office/drawing/2010/slicer" name="Timeline"/>
            </a:graphicData>
          </a:graphic>
        </xdr:graphicFrame>
      </mc:Choice>
      <mc:Fallback>
        <xdr:sp macro="" textlink="">
          <xdr:nvSpPr>
            <xdr:cNvPr id="0" name=""/>
            <xdr:cNvSpPr>
              <a:spLocks noTextEdit="1"/>
            </xdr:cNvSpPr>
          </xdr:nvSpPr>
          <xdr:spPr>
            <a:xfrm>
              <a:off x="13433121" y="198677"/>
              <a:ext cx="1826712" cy="2504901"/>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335773</xdr:colOff>
      <xdr:row>0</xdr:row>
      <xdr:rowOff>158236</xdr:rowOff>
    </xdr:from>
    <xdr:to>
      <xdr:col>8</xdr:col>
      <xdr:colOff>30973</xdr:colOff>
      <xdr:row>15</xdr:row>
      <xdr:rowOff>141009</xdr:rowOff>
    </xdr:to>
    <xdr:graphicFrame macro="">
      <xdr:nvGraphicFramePr>
        <xdr:cNvPr id="2" name="Chart 3">
          <a:extLst>
            <a:ext uri="{FF2B5EF4-FFF2-40B4-BE49-F238E27FC236}">
              <a16:creationId xmlns:a16="http://schemas.microsoft.com/office/drawing/2014/main" id="{C430168C-3EA7-4D9F-BBB3-B328CB1BE4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257025</xdr:colOff>
      <xdr:row>1</xdr:row>
      <xdr:rowOff>6395</xdr:rowOff>
    </xdr:from>
    <xdr:to>
      <xdr:col>16</xdr:col>
      <xdr:colOff>561825</xdr:colOff>
      <xdr:row>15</xdr:row>
      <xdr:rowOff>169672</xdr:rowOff>
    </xdr:to>
    <xdr:graphicFrame macro="">
      <xdr:nvGraphicFramePr>
        <xdr:cNvPr id="3" name="Chart 1">
          <a:extLst>
            <a:ext uri="{FF2B5EF4-FFF2-40B4-BE49-F238E27FC236}">
              <a16:creationId xmlns:a16="http://schemas.microsoft.com/office/drawing/2014/main" id="{4FC895C6-251D-4CB9-AF80-88FA46EE9A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313539</xdr:colOff>
      <xdr:row>16</xdr:row>
      <xdr:rowOff>89653</xdr:rowOff>
    </xdr:from>
    <xdr:to>
      <xdr:col>8</xdr:col>
      <xdr:colOff>129389</xdr:colOff>
      <xdr:row>28</xdr:row>
      <xdr:rowOff>64081</xdr:rowOff>
    </xdr:to>
    <xdr:sp macro="" textlink="">
      <xdr:nvSpPr>
        <xdr:cNvPr id="4" name="TextBox 3">
          <a:extLst>
            <a:ext uri="{FF2B5EF4-FFF2-40B4-BE49-F238E27FC236}">
              <a16:creationId xmlns:a16="http://schemas.microsoft.com/office/drawing/2014/main" id="{10A05C2F-26AD-4B63-A669-B705A4A5A1E4}"/>
            </a:ext>
          </a:extLst>
        </xdr:cNvPr>
        <xdr:cNvSpPr txBox="1"/>
      </xdr:nvSpPr>
      <xdr:spPr>
        <a:xfrm>
          <a:off x="313539" y="3072405"/>
          <a:ext cx="4709428" cy="221149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-Coal Consumption peaked in the</a:t>
          </a:r>
          <a:r>
            <a:rPr lang="en-US" sz="1100" baseline="0"/>
            <a:t> years 2005 - 2007 and has been showing a declining trend since then.</a:t>
          </a:r>
        </a:p>
        <a:p>
          <a:r>
            <a:rPr lang="en-US" sz="1100" baseline="0"/>
            <a:t>-Since 2008, Coal Consumption has plummeted by 61%</a:t>
          </a:r>
        </a:p>
        <a:p>
          <a:r>
            <a:rPr lang="en-US" sz="1100" baseline="0"/>
            <a:t>-Crossover between Coal Consumption and Total Renewable Energy Consumption happened in the year 2020 </a:t>
          </a:r>
        </a:p>
        <a:p>
          <a:r>
            <a:rPr lang="en-US" sz="1100" baseline="0"/>
            <a:t>-Renewable Energy Consumption has gone up 77% since 2008.</a:t>
          </a:r>
        </a:p>
        <a:p>
          <a:r>
            <a:rPr lang="en-US" sz="1100" baseline="0"/>
            <a:t>-Based on historical trends, Renewable Consumption is projected to hit 0.7994674 Quadrillion  BTU by January of 2030, a 6.6% increase from current levels</a:t>
          </a:r>
        </a:p>
        <a:p>
          <a:r>
            <a:rPr lang="en-US" sz="1100" baseline="0"/>
            <a:t>-Renewables have maintained a steady 3% growth rate over the last decade.</a:t>
          </a:r>
        </a:p>
        <a:p>
          <a:r>
            <a:rPr lang="en-US" sz="1100"/>
            <a:t> </a:t>
          </a:r>
        </a:p>
      </xdr:txBody>
    </xdr:sp>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meline" xr10:uid="{5C3D4FF2-6268-4586-A6F7-D96548E2AC35}" sourceName="Timeline">
  <extLst>
    <x:ext xmlns:x15="http://schemas.microsoft.com/office/spreadsheetml/2010/11/main" uri="{2F2917AC-EB37-4324-AD4E-5DD8C200BD13}">
      <x15:tableSlicerCache tableId="1"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imeline" xr10:uid="{A94682C0-407D-495C-AF2F-469073337AB3}" cache="Slicer_Timeline" caption="Timeline" startItem="63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2440DF2-EBC2-496A-A444-0AAB1015352C}" name="Table1" displayName="Table1" ref="A1:E748" totalsRowShown="0">
  <autoFilter ref="A1:E748" xr:uid="{22440DF2-EBC2-496A-A444-0AAB1015352C}">
    <filterColumn colId="0">
      <filters>
        <dateGroupItem year="2025" month="12" day="1" dateTimeGrouping="day"/>
      </filters>
    </filterColumn>
  </autoFilter>
  <tableColumns count="5">
    <tableColumn id="1" xr3:uid="{4BD97A48-62FF-4B43-BBBE-0BCD8CEBF1A7}" name="Timeline" dataDxfId="2"/>
    <tableColumn id="2" xr3:uid="{329CB5BB-EF7A-4AB7-A768-ED9BEBB204E9}" name="Values"/>
    <tableColumn id="3" xr3:uid="{F85A08C3-1818-49E1-B3C0-52DDB06EF029}" name="Forecast">
      <calculatedColumnFormula>_xlfn.FORECAST.ETS(A2,$B$2:$B$637,$A$2:$A$637,1,1)</calculatedColumnFormula>
    </tableColumn>
    <tableColumn id="4" xr3:uid="{8087C01F-4526-4914-A94D-D36B17AC6157}" name="Lower Confidence Bound" dataDxfId="1">
      <calculatedColumnFormula>C2-_xlfn.FORECAST.ETS.CONFINT(A2,$B$2:$B$637,$A$2:$A$637,0.95,1,1)</calculatedColumnFormula>
    </tableColumn>
    <tableColumn id="5" xr3:uid="{FAB6D393-C04E-4CE6-9558-A6E37EADA1CC}" name="Upper Confidence Bound" dataDxfId="0">
      <calculatedColumnFormula>C2+_xlfn.FORECAST.ETS.CONFINT(A2,$B$2:$B$637,$A$2:$A$637,0.95,1,1)</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391BF-EB14-4878-91D3-992C0DC79A92}">
  <dimension ref="A1:E748"/>
  <sheetViews>
    <sheetView zoomScale="73" workbookViewId="0">
      <selection activeCell="C686" sqref="C686"/>
    </sheetView>
  </sheetViews>
  <sheetFormatPr defaultRowHeight="14.5" x14ac:dyDescent="0.35"/>
  <cols>
    <col min="1" max="1" width="9.90625" customWidth="1"/>
    <col min="2" max="2" width="8.81640625" bestFit="1" customWidth="1"/>
    <col min="3" max="3" width="9.90625" customWidth="1"/>
    <col min="4" max="4" width="23.6328125" customWidth="1"/>
    <col min="5" max="5" width="23.7265625" customWidth="1"/>
  </cols>
  <sheetData>
    <row r="1" spans="1:5" x14ac:dyDescent="0.35">
      <c r="A1" t="s">
        <v>657</v>
      </c>
      <c r="B1" t="s">
        <v>658</v>
      </c>
      <c r="C1" t="s">
        <v>659</v>
      </c>
      <c r="D1" t="s">
        <v>660</v>
      </c>
      <c r="E1" t="s">
        <v>661</v>
      </c>
    </row>
    <row r="2" spans="1:5" hidden="1" x14ac:dyDescent="0.35">
      <c r="A2" s="4">
        <v>26665</v>
      </c>
      <c r="B2">
        <v>0.21983900000000001</v>
      </c>
    </row>
    <row r="3" spans="1:5" hidden="1" x14ac:dyDescent="0.35">
      <c r="A3" s="4">
        <v>26696</v>
      </c>
      <c r="B3">
        <v>0.19733000000000001</v>
      </c>
    </row>
    <row r="4" spans="1:5" hidden="1" x14ac:dyDescent="0.35">
      <c r="A4" s="4">
        <v>26724</v>
      </c>
      <c r="B4">
        <v>0.21868599999999999</v>
      </c>
    </row>
    <row r="5" spans="1:5" hidden="1" x14ac:dyDescent="0.35">
      <c r="A5" s="4">
        <v>26755</v>
      </c>
      <c r="B5">
        <v>0.20932999999999999</v>
      </c>
    </row>
    <row r="6" spans="1:5" hidden="1" x14ac:dyDescent="0.35">
      <c r="A6" s="4">
        <v>26785</v>
      </c>
      <c r="B6">
        <v>0.21598200000000001</v>
      </c>
    </row>
    <row r="7" spans="1:5" hidden="1" x14ac:dyDescent="0.35">
      <c r="A7" s="4">
        <v>26816</v>
      </c>
      <c r="B7">
        <v>0.20824899999999999</v>
      </c>
    </row>
    <row r="8" spans="1:5" hidden="1" x14ac:dyDescent="0.35">
      <c r="A8" s="4">
        <v>26846</v>
      </c>
      <c r="B8">
        <v>0.20780000000000001</v>
      </c>
    </row>
    <row r="9" spans="1:5" hidden="1" x14ac:dyDescent="0.35">
      <c r="A9" s="4">
        <v>26877</v>
      </c>
      <c r="B9">
        <v>0.203432</v>
      </c>
    </row>
    <row r="10" spans="1:5" hidden="1" x14ac:dyDescent="0.35">
      <c r="A10" s="4">
        <v>26908</v>
      </c>
      <c r="B10">
        <v>0.18529999999999999</v>
      </c>
    </row>
    <row r="11" spans="1:5" hidden="1" x14ac:dyDescent="0.35">
      <c r="A11" s="4">
        <v>26938</v>
      </c>
      <c r="B11">
        <v>0.19351399999999999</v>
      </c>
    </row>
    <row r="12" spans="1:5" hidden="1" x14ac:dyDescent="0.35">
      <c r="A12" s="4">
        <v>26969</v>
      </c>
      <c r="B12">
        <v>0.195326</v>
      </c>
    </row>
    <row r="13" spans="1:5" hidden="1" x14ac:dyDescent="0.35">
      <c r="A13" s="4">
        <v>26999</v>
      </c>
      <c r="B13">
        <v>0.22075500000000001</v>
      </c>
    </row>
    <row r="14" spans="1:5" hidden="1" x14ac:dyDescent="0.35">
      <c r="A14" s="4">
        <v>27030</v>
      </c>
      <c r="B14">
        <v>0.23100999999999999</v>
      </c>
    </row>
    <row r="15" spans="1:5" hidden="1" x14ac:dyDescent="0.35">
      <c r="A15" s="4">
        <v>27061</v>
      </c>
      <c r="B15">
        <v>0.21018800000000001</v>
      </c>
    </row>
    <row r="16" spans="1:5" hidden="1" x14ac:dyDescent="0.35">
      <c r="A16" s="4">
        <v>27089</v>
      </c>
      <c r="B16">
        <v>0.226384</v>
      </c>
    </row>
    <row r="17" spans="1:2" hidden="1" x14ac:dyDescent="0.35">
      <c r="A17" s="4">
        <v>27120</v>
      </c>
      <c r="B17">
        <v>0.223218</v>
      </c>
    </row>
    <row r="18" spans="1:2" hidden="1" x14ac:dyDescent="0.35">
      <c r="A18" s="4">
        <v>27150</v>
      </c>
      <c r="B18">
        <v>0.227793</v>
      </c>
    </row>
    <row r="19" spans="1:2" hidden="1" x14ac:dyDescent="0.35">
      <c r="A19" s="4">
        <v>27181</v>
      </c>
      <c r="B19">
        <v>0.218976</v>
      </c>
    </row>
    <row r="20" spans="1:2" hidden="1" x14ac:dyDescent="0.35">
      <c r="A20" s="4">
        <v>27211</v>
      </c>
      <c r="B20">
        <v>0.221909</v>
      </c>
    </row>
    <row r="21" spans="1:2" hidden="1" x14ac:dyDescent="0.35">
      <c r="A21" s="4">
        <v>27242</v>
      </c>
      <c r="B21">
        <v>0.214197</v>
      </c>
    </row>
    <row r="22" spans="1:2" hidden="1" x14ac:dyDescent="0.35">
      <c r="A22" s="4">
        <v>27273</v>
      </c>
      <c r="B22">
        <v>0.2009</v>
      </c>
    </row>
    <row r="23" spans="1:2" hidden="1" x14ac:dyDescent="0.35">
      <c r="A23" s="4">
        <v>27303</v>
      </c>
      <c r="B23">
        <v>0.20031199999999999</v>
      </c>
    </row>
    <row r="24" spans="1:2" hidden="1" x14ac:dyDescent="0.35">
      <c r="A24" s="4">
        <v>27334</v>
      </c>
      <c r="B24">
        <v>0.200068</v>
      </c>
    </row>
    <row r="25" spans="1:2" hidden="1" x14ac:dyDescent="0.35">
      <c r="A25" s="4">
        <v>27364</v>
      </c>
      <c r="B25">
        <v>0.21104600000000001</v>
      </c>
    </row>
    <row r="26" spans="1:2" hidden="1" x14ac:dyDescent="0.35">
      <c r="A26" s="4">
        <v>27395</v>
      </c>
      <c r="B26">
        <v>0.21431900000000001</v>
      </c>
    </row>
    <row r="27" spans="1:2" hidden="1" x14ac:dyDescent="0.35">
      <c r="A27" s="4">
        <v>27426</v>
      </c>
      <c r="B27">
        <v>0.19800799999999999</v>
      </c>
    </row>
    <row r="28" spans="1:2" hidden="1" x14ac:dyDescent="0.35">
      <c r="A28" s="4">
        <v>27454</v>
      </c>
      <c r="B28">
        <v>0.224384</v>
      </c>
    </row>
    <row r="29" spans="1:2" hidden="1" x14ac:dyDescent="0.35">
      <c r="A29" s="4">
        <v>27485</v>
      </c>
      <c r="B29">
        <v>0.21567900000000001</v>
      </c>
    </row>
    <row r="30" spans="1:2" hidden="1" x14ac:dyDescent="0.35">
      <c r="A30" s="4">
        <v>27515</v>
      </c>
      <c r="B30">
        <v>0.223695</v>
      </c>
    </row>
    <row r="31" spans="1:2" hidden="1" x14ac:dyDescent="0.35">
      <c r="A31" s="4">
        <v>27546</v>
      </c>
      <c r="B31">
        <v>0.21779799999999999</v>
      </c>
    </row>
    <row r="32" spans="1:2" hidden="1" x14ac:dyDescent="0.35">
      <c r="A32" s="4">
        <v>27576</v>
      </c>
      <c r="B32">
        <v>0.21620200000000001</v>
      </c>
    </row>
    <row r="33" spans="1:2" hidden="1" x14ac:dyDescent="0.35">
      <c r="A33" s="4">
        <v>27607</v>
      </c>
      <c r="B33">
        <v>0.206312</v>
      </c>
    </row>
    <row r="34" spans="1:2" hidden="1" x14ac:dyDescent="0.35">
      <c r="A34" s="4">
        <v>27638</v>
      </c>
      <c r="B34">
        <v>0.194934</v>
      </c>
    </row>
    <row r="35" spans="1:2" hidden="1" x14ac:dyDescent="0.35">
      <c r="A35" s="4">
        <v>27668</v>
      </c>
      <c r="B35">
        <v>0.20648900000000001</v>
      </c>
    </row>
    <row r="36" spans="1:2" hidden="1" x14ac:dyDescent="0.35">
      <c r="A36" s="4">
        <v>27699</v>
      </c>
      <c r="B36">
        <v>0.20843600000000001</v>
      </c>
    </row>
    <row r="37" spans="1:2" hidden="1" x14ac:dyDescent="0.35">
      <c r="A37" s="4">
        <v>27729</v>
      </c>
      <c r="B37">
        <v>0.21791099999999999</v>
      </c>
    </row>
    <row r="38" spans="1:2" hidden="1" x14ac:dyDescent="0.35">
      <c r="A38" s="4">
        <v>27760</v>
      </c>
      <c r="B38">
        <v>0.23607300000000001</v>
      </c>
    </row>
    <row r="39" spans="1:2" hidden="1" x14ac:dyDescent="0.35">
      <c r="A39" s="4">
        <v>27791</v>
      </c>
      <c r="B39">
        <v>0.22137399999999999</v>
      </c>
    </row>
    <row r="40" spans="1:2" hidden="1" x14ac:dyDescent="0.35">
      <c r="A40" s="4">
        <v>27820</v>
      </c>
      <c r="B40">
        <v>0.23780699999999999</v>
      </c>
    </row>
    <row r="41" spans="1:2" hidden="1" x14ac:dyDescent="0.35">
      <c r="A41" s="4">
        <v>27851</v>
      </c>
      <c r="B41">
        <v>0.22475600000000001</v>
      </c>
    </row>
    <row r="42" spans="1:2" hidden="1" x14ac:dyDescent="0.35">
      <c r="A42" s="4">
        <v>27881</v>
      </c>
      <c r="B42">
        <v>0.23408200000000001</v>
      </c>
    </row>
    <row r="43" spans="1:2" hidden="1" x14ac:dyDescent="0.35">
      <c r="A43" s="4">
        <v>27912</v>
      </c>
      <c r="B43">
        <v>0.22959499999999999</v>
      </c>
    </row>
    <row r="44" spans="1:2" hidden="1" x14ac:dyDescent="0.35">
      <c r="A44" s="4">
        <v>27942</v>
      </c>
      <c r="B44">
        <v>0.235984</v>
      </c>
    </row>
    <row r="45" spans="1:2" hidden="1" x14ac:dyDescent="0.35">
      <c r="A45" s="4">
        <v>27973</v>
      </c>
      <c r="B45">
        <v>0.22833600000000001</v>
      </c>
    </row>
    <row r="46" spans="1:2" hidden="1" x14ac:dyDescent="0.35">
      <c r="A46" s="4">
        <v>28004</v>
      </c>
      <c r="B46">
        <v>0.21166499999999999</v>
      </c>
    </row>
    <row r="47" spans="1:2" hidden="1" x14ac:dyDescent="0.35">
      <c r="A47" s="4">
        <v>28034</v>
      </c>
      <c r="B47">
        <v>0.21881800000000001</v>
      </c>
    </row>
    <row r="48" spans="1:2" hidden="1" x14ac:dyDescent="0.35">
      <c r="A48" s="4">
        <v>28065</v>
      </c>
      <c r="B48">
        <v>0.20996799999999999</v>
      </c>
    </row>
    <row r="49" spans="1:2" hidden="1" x14ac:dyDescent="0.35">
      <c r="A49" s="4">
        <v>28095</v>
      </c>
      <c r="B49">
        <v>0.21623899999999999</v>
      </c>
    </row>
    <row r="50" spans="1:2" hidden="1" x14ac:dyDescent="0.35">
      <c r="A50" s="4">
        <v>28126</v>
      </c>
      <c r="B50">
        <v>0.228907</v>
      </c>
    </row>
    <row r="51" spans="1:2" hidden="1" x14ac:dyDescent="0.35">
      <c r="A51" s="4">
        <v>28157</v>
      </c>
      <c r="B51">
        <v>0.194523</v>
      </c>
    </row>
    <row r="52" spans="1:2" hidden="1" x14ac:dyDescent="0.35">
      <c r="A52" s="4">
        <v>28185</v>
      </c>
      <c r="B52">
        <v>0.22578100000000001</v>
      </c>
    </row>
    <row r="53" spans="1:2" hidden="1" x14ac:dyDescent="0.35">
      <c r="A53" s="4">
        <v>28216</v>
      </c>
      <c r="B53">
        <v>0.21660199999999999</v>
      </c>
    </row>
    <row r="54" spans="1:2" hidden="1" x14ac:dyDescent="0.35">
      <c r="A54" s="4">
        <v>28246</v>
      </c>
      <c r="B54">
        <v>0.22182299999999999</v>
      </c>
    </row>
    <row r="55" spans="1:2" hidden="1" x14ac:dyDescent="0.35">
      <c r="A55" s="4">
        <v>28277</v>
      </c>
      <c r="B55">
        <v>0.211752</v>
      </c>
    </row>
    <row r="56" spans="1:2" hidden="1" x14ac:dyDescent="0.35">
      <c r="A56" s="4">
        <v>28307</v>
      </c>
      <c r="B56">
        <v>0.21509700000000001</v>
      </c>
    </row>
    <row r="57" spans="1:2" hidden="1" x14ac:dyDescent="0.35">
      <c r="A57" s="4">
        <v>28338</v>
      </c>
      <c r="B57">
        <v>0.21487100000000001</v>
      </c>
    </row>
    <row r="58" spans="1:2" hidden="1" x14ac:dyDescent="0.35">
      <c r="A58" s="4">
        <v>28369</v>
      </c>
      <c r="B58">
        <v>0.20897399999999999</v>
      </c>
    </row>
    <row r="59" spans="1:2" hidden="1" x14ac:dyDescent="0.35">
      <c r="A59" s="4">
        <v>28399</v>
      </c>
      <c r="B59">
        <v>0.216727</v>
      </c>
    </row>
    <row r="60" spans="1:2" hidden="1" x14ac:dyDescent="0.35">
      <c r="A60" s="4">
        <v>28430</v>
      </c>
      <c r="B60">
        <v>0.222663</v>
      </c>
    </row>
    <row r="61" spans="1:2" hidden="1" x14ac:dyDescent="0.35">
      <c r="A61" s="4">
        <v>28460</v>
      </c>
      <c r="B61">
        <v>0.23575399999999999</v>
      </c>
    </row>
    <row r="62" spans="1:2" hidden="1" x14ac:dyDescent="0.35">
      <c r="A62" s="4">
        <v>28491</v>
      </c>
      <c r="B62">
        <v>0.26067699999999999</v>
      </c>
    </row>
    <row r="63" spans="1:2" hidden="1" x14ac:dyDescent="0.35">
      <c r="A63" s="4">
        <v>28522</v>
      </c>
      <c r="B63">
        <v>0.233933</v>
      </c>
    </row>
    <row r="64" spans="1:2" hidden="1" x14ac:dyDescent="0.35">
      <c r="A64" s="4">
        <v>28550</v>
      </c>
      <c r="B64">
        <v>0.25886300000000001</v>
      </c>
    </row>
    <row r="65" spans="1:2" hidden="1" x14ac:dyDescent="0.35">
      <c r="A65" s="4">
        <v>28581</v>
      </c>
      <c r="B65">
        <v>0.25528499999999998</v>
      </c>
    </row>
    <row r="66" spans="1:2" hidden="1" x14ac:dyDescent="0.35">
      <c r="A66" s="4">
        <v>28611</v>
      </c>
      <c r="B66">
        <v>0.27269100000000002</v>
      </c>
    </row>
    <row r="67" spans="1:2" hidden="1" x14ac:dyDescent="0.35">
      <c r="A67" s="4">
        <v>28642</v>
      </c>
      <c r="B67">
        <v>0.25470300000000001</v>
      </c>
    </row>
    <row r="68" spans="1:2" hidden="1" x14ac:dyDescent="0.35">
      <c r="A68" s="4">
        <v>28672</v>
      </c>
      <c r="B68">
        <v>0.25805600000000001</v>
      </c>
    </row>
    <row r="69" spans="1:2" hidden="1" x14ac:dyDescent="0.35">
      <c r="A69" s="4">
        <v>28703</v>
      </c>
      <c r="B69">
        <v>0.25065199999999999</v>
      </c>
    </row>
    <row r="70" spans="1:2" hidden="1" x14ac:dyDescent="0.35">
      <c r="A70" s="4">
        <v>28734</v>
      </c>
      <c r="B70">
        <v>0.24149399999999999</v>
      </c>
    </row>
    <row r="71" spans="1:2" hidden="1" x14ac:dyDescent="0.35">
      <c r="A71" s="4">
        <v>28764</v>
      </c>
      <c r="B71">
        <v>0.241095</v>
      </c>
    </row>
    <row r="72" spans="1:2" hidden="1" x14ac:dyDescent="0.35">
      <c r="A72" s="4">
        <v>28795</v>
      </c>
      <c r="B72">
        <v>0.23721400000000001</v>
      </c>
    </row>
    <row r="73" spans="1:2" hidden="1" x14ac:dyDescent="0.35">
      <c r="A73" s="4">
        <v>28825</v>
      </c>
      <c r="B73">
        <v>0.25028499999999998</v>
      </c>
    </row>
    <row r="74" spans="1:2" hidden="1" x14ac:dyDescent="0.35">
      <c r="A74" s="4">
        <v>28856</v>
      </c>
      <c r="B74">
        <v>0.27</v>
      </c>
    </row>
    <row r="75" spans="1:2" hidden="1" x14ac:dyDescent="0.35">
      <c r="A75" s="4">
        <v>28887</v>
      </c>
      <c r="B75">
        <v>0.23937700000000001</v>
      </c>
    </row>
    <row r="76" spans="1:2" hidden="1" x14ac:dyDescent="0.35">
      <c r="A76" s="4">
        <v>28915</v>
      </c>
      <c r="B76">
        <v>0.27348499999999998</v>
      </c>
    </row>
    <row r="77" spans="1:2" hidden="1" x14ac:dyDescent="0.35">
      <c r="A77" s="4">
        <v>28946</v>
      </c>
      <c r="B77">
        <v>0.26552599999999998</v>
      </c>
    </row>
    <row r="78" spans="1:2" hidden="1" x14ac:dyDescent="0.35">
      <c r="A78" s="4">
        <v>28976</v>
      </c>
      <c r="B78">
        <v>0.28372700000000001</v>
      </c>
    </row>
    <row r="79" spans="1:2" hidden="1" x14ac:dyDescent="0.35">
      <c r="A79" s="4">
        <v>29007</v>
      </c>
      <c r="B79">
        <v>0.26411800000000002</v>
      </c>
    </row>
    <row r="80" spans="1:2" hidden="1" x14ac:dyDescent="0.35">
      <c r="A80" s="4">
        <v>29037</v>
      </c>
      <c r="B80">
        <v>0.26239400000000002</v>
      </c>
    </row>
    <row r="81" spans="1:2" hidden="1" x14ac:dyDescent="0.35">
      <c r="A81" s="4">
        <v>29068</v>
      </c>
      <c r="B81">
        <v>0.25742300000000001</v>
      </c>
    </row>
    <row r="82" spans="1:2" hidden="1" x14ac:dyDescent="0.35">
      <c r="A82" s="4">
        <v>29099</v>
      </c>
      <c r="B82">
        <v>0.24346799999999999</v>
      </c>
    </row>
    <row r="83" spans="1:2" hidden="1" x14ac:dyDescent="0.35">
      <c r="A83" s="4">
        <v>29129</v>
      </c>
      <c r="B83">
        <v>0.25355899999999998</v>
      </c>
    </row>
    <row r="84" spans="1:2" hidden="1" x14ac:dyDescent="0.35">
      <c r="A84" s="4">
        <v>29160</v>
      </c>
      <c r="B84">
        <v>0.25531700000000002</v>
      </c>
    </row>
    <row r="85" spans="1:2" hidden="1" x14ac:dyDescent="0.35">
      <c r="A85" s="4">
        <v>29190</v>
      </c>
      <c r="B85">
        <v>0.26263700000000001</v>
      </c>
    </row>
    <row r="86" spans="1:2" hidden="1" x14ac:dyDescent="0.35">
      <c r="A86" s="4">
        <v>29221</v>
      </c>
      <c r="B86">
        <v>0.29822100000000001</v>
      </c>
    </row>
    <row r="87" spans="1:2" hidden="1" x14ac:dyDescent="0.35">
      <c r="A87" s="4">
        <v>29252</v>
      </c>
      <c r="B87">
        <v>0.27119399999999999</v>
      </c>
    </row>
    <row r="88" spans="1:2" hidden="1" x14ac:dyDescent="0.35">
      <c r="A88" s="4">
        <v>29281</v>
      </c>
      <c r="B88">
        <v>0.294931</v>
      </c>
    </row>
    <row r="89" spans="1:2" hidden="1" x14ac:dyDescent="0.35">
      <c r="A89" s="4">
        <v>29312</v>
      </c>
      <c r="B89">
        <v>0.293043</v>
      </c>
    </row>
    <row r="90" spans="1:2" hidden="1" x14ac:dyDescent="0.35">
      <c r="A90" s="4">
        <v>29342</v>
      </c>
      <c r="B90">
        <v>0.31068200000000001</v>
      </c>
    </row>
    <row r="91" spans="1:2" hidden="1" x14ac:dyDescent="0.35">
      <c r="A91" s="4">
        <v>29373</v>
      </c>
      <c r="B91">
        <v>0.29963299999999998</v>
      </c>
    </row>
    <row r="92" spans="1:2" hidden="1" x14ac:dyDescent="0.35">
      <c r="A92" s="4">
        <v>29403</v>
      </c>
      <c r="B92">
        <v>0.29553699999999999</v>
      </c>
    </row>
    <row r="93" spans="1:2" hidden="1" x14ac:dyDescent="0.35">
      <c r="A93" s="4">
        <v>29434</v>
      </c>
      <c r="B93">
        <v>0.281831</v>
      </c>
    </row>
    <row r="94" spans="1:2" hidden="1" x14ac:dyDescent="0.35">
      <c r="A94" s="4">
        <v>29465</v>
      </c>
      <c r="B94">
        <v>0.268204</v>
      </c>
    </row>
    <row r="95" spans="1:2" hidden="1" x14ac:dyDescent="0.35">
      <c r="A95" s="4">
        <v>29495</v>
      </c>
      <c r="B95">
        <v>0.27305800000000002</v>
      </c>
    </row>
    <row r="96" spans="1:2" hidden="1" x14ac:dyDescent="0.35">
      <c r="A96" s="4">
        <v>29526</v>
      </c>
      <c r="B96">
        <v>0.27091300000000001</v>
      </c>
    </row>
    <row r="97" spans="1:2" hidden="1" x14ac:dyDescent="0.35">
      <c r="A97" s="4">
        <v>29556</v>
      </c>
      <c r="B97">
        <v>0.28813100000000003</v>
      </c>
    </row>
    <row r="98" spans="1:2" hidden="1" x14ac:dyDescent="0.35">
      <c r="A98" s="4">
        <v>29587</v>
      </c>
      <c r="B98">
        <v>0.299483</v>
      </c>
    </row>
    <row r="99" spans="1:2" hidden="1" x14ac:dyDescent="0.35">
      <c r="A99" s="4">
        <v>29618</v>
      </c>
      <c r="B99">
        <v>0.27360400000000001</v>
      </c>
    </row>
    <row r="100" spans="1:2" hidden="1" x14ac:dyDescent="0.35">
      <c r="A100" s="4">
        <v>29646</v>
      </c>
      <c r="B100">
        <v>0.29345399999999999</v>
      </c>
    </row>
    <row r="101" spans="1:2" hidden="1" x14ac:dyDescent="0.35">
      <c r="A101" s="4">
        <v>29677</v>
      </c>
      <c r="B101">
        <v>0.28676400000000002</v>
      </c>
    </row>
    <row r="102" spans="1:2" hidden="1" x14ac:dyDescent="0.35">
      <c r="A102" s="4">
        <v>29707</v>
      </c>
      <c r="B102">
        <v>0.30529699999999999</v>
      </c>
    </row>
    <row r="103" spans="1:2" hidden="1" x14ac:dyDescent="0.35">
      <c r="A103" s="4">
        <v>29738</v>
      </c>
      <c r="B103">
        <v>0.30586000000000002</v>
      </c>
    </row>
    <row r="104" spans="1:2" hidden="1" x14ac:dyDescent="0.35">
      <c r="A104" s="4">
        <v>29768</v>
      </c>
      <c r="B104">
        <v>0.30882100000000001</v>
      </c>
    </row>
    <row r="105" spans="1:2" hidden="1" x14ac:dyDescent="0.35">
      <c r="A105" s="4">
        <v>29799</v>
      </c>
      <c r="B105">
        <v>0.296678</v>
      </c>
    </row>
    <row r="106" spans="1:2" hidden="1" x14ac:dyDescent="0.35">
      <c r="A106" s="4">
        <v>29830</v>
      </c>
      <c r="B106">
        <v>0.27672000000000002</v>
      </c>
    </row>
    <row r="107" spans="1:2" hidden="1" x14ac:dyDescent="0.35">
      <c r="A107" s="4">
        <v>29860</v>
      </c>
      <c r="B107">
        <v>0.28468399999999999</v>
      </c>
    </row>
    <row r="108" spans="1:2" hidden="1" x14ac:dyDescent="0.35">
      <c r="A108" s="4">
        <v>29891</v>
      </c>
      <c r="B108">
        <v>0.280364</v>
      </c>
    </row>
    <row r="109" spans="1:2" hidden="1" x14ac:dyDescent="0.35">
      <c r="A109" s="4">
        <v>29921</v>
      </c>
      <c r="B109">
        <v>0.30419299999999999</v>
      </c>
    </row>
    <row r="110" spans="1:2" hidden="1" x14ac:dyDescent="0.35">
      <c r="A110" s="4">
        <v>29952</v>
      </c>
      <c r="B110">
        <v>0.32031100000000001</v>
      </c>
    </row>
    <row r="111" spans="1:2" hidden="1" x14ac:dyDescent="0.35">
      <c r="A111" s="4">
        <v>29983</v>
      </c>
      <c r="B111">
        <v>0.29747499999999999</v>
      </c>
    </row>
    <row r="112" spans="1:2" hidden="1" x14ac:dyDescent="0.35">
      <c r="A112" s="4">
        <v>30011</v>
      </c>
      <c r="B112">
        <v>0.33013100000000001</v>
      </c>
    </row>
    <row r="113" spans="1:2" hidden="1" x14ac:dyDescent="0.35">
      <c r="A113" s="4">
        <v>30042</v>
      </c>
      <c r="B113">
        <v>0.31618299999999999</v>
      </c>
    </row>
    <row r="114" spans="1:2" hidden="1" x14ac:dyDescent="0.35">
      <c r="A114" s="4">
        <v>30072</v>
      </c>
      <c r="B114">
        <v>0.32393899999999998</v>
      </c>
    </row>
    <row r="115" spans="1:2" hidden="1" x14ac:dyDescent="0.35">
      <c r="A115" s="4">
        <v>30103</v>
      </c>
      <c r="B115">
        <v>0.31681599999999999</v>
      </c>
    </row>
    <row r="116" spans="1:2" hidden="1" x14ac:dyDescent="0.35">
      <c r="A116" s="4">
        <v>30133</v>
      </c>
      <c r="B116">
        <v>0.32185399999999997</v>
      </c>
    </row>
    <row r="117" spans="1:2" hidden="1" x14ac:dyDescent="0.35">
      <c r="A117" s="4">
        <v>30164</v>
      </c>
      <c r="B117">
        <v>0.31005899999999997</v>
      </c>
    </row>
    <row r="118" spans="1:2" hidden="1" x14ac:dyDescent="0.35">
      <c r="A118" s="4">
        <v>30195</v>
      </c>
      <c r="B118">
        <v>0.28905399999999998</v>
      </c>
    </row>
    <row r="119" spans="1:2" hidden="1" x14ac:dyDescent="0.35">
      <c r="A119" s="4">
        <v>30225</v>
      </c>
      <c r="B119">
        <v>0.29605599999999999</v>
      </c>
    </row>
    <row r="120" spans="1:2" hidden="1" x14ac:dyDescent="0.35">
      <c r="A120" s="4">
        <v>30256</v>
      </c>
      <c r="B120">
        <v>0.30086400000000002</v>
      </c>
    </row>
    <row r="121" spans="1:2" hidden="1" x14ac:dyDescent="0.35">
      <c r="A121" s="4">
        <v>30286</v>
      </c>
      <c r="B121">
        <v>0.32305400000000001</v>
      </c>
    </row>
    <row r="122" spans="1:2" hidden="1" x14ac:dyDescent="0.35">
      <c r="A122" s="4">
        <v>30317</v>
      </c>
      <c r="B122">
        <v>0.34896899999999997</v>
      </c>
    </row>
    <row r="123" spans="1:2" hidden="1" x14ac:dyDescent="0.35">
      <c r="A123" s="4">
        <v>30348</v>
      </c>
      <c r="B123">
        <v>0.32021300000000003</v>
      </c>
    </row>
    <row r="124" spans="1:2" hidden="1" x14ac:dyDescent="0.35">
      <c r="A124" s="4">
        <v>30376</v>
      </c>
      <c r="B124">
        <v>0.35242200000000001</v>
      </c>
    </row>
    <row r="125" spans="1:2" hidden="1" x14ac:dyDescent="0.35">
      <c r="A125" s="4">
        <v>30407</v>
      </c>
      <c r="B125">
        <v>0.343331</v>
      </c>
    </row>
    <row r="126" spans="1:2" hidden="1" x14ac:dyDescent="0.35">
      <c r="A126" s="4">
        <v>30437</v>
      </c>
      <c r="B126">
        <v>0.35532999999999998</v>
      </c>
    </row>
    <row r="127" spans="1:2" hidden="1" x14ac:dyDescent="0.35">
      <c r="A127" s="4">
        <v>30468</v>
      </c>
      <c r="B127">
        <v>0.34601199999999999</v>
      </c>
    </row>
    <row r="128" spans="1:2" hidden="1" x14ac:dyDescent="0.35">
      <c r="A128" s="4">
        <v>30498</v>
      </c>
      <c r="B128">
        <v>0.34535900000000003</v>
      </c>
    </row>
    <row r="129" spans="1:2" hidden="1" x14ac:dyDescent="0.35">
      <c r="A129" s="4">
        <v>30529</v>
      </c>
      <c r="B129">
        <v>0.33802500000000002</v>
      </c>
    </row>
    <row r="130" spans="1:2" hidden="1" x14ac:dyDescent="0.35">
      <c r="A130" s="4">
        <v>30560</v>
      </c>
      <c r="B130">
        <v>0.31575799999999998</v>
      </c>
    </row>
    <row r="131" spans="1:2" hidden="1" x14ac:dyDescent="0.35">
      <c r="A131" s="4">
        <v>30590</v>
      </c>
      <c r="B131">
        <v>0.32052399999999998</v>
      </c>
    </row>
    <row r="132" spans="1:2" hidden="1" x14ac:dyDescent="0.35">
      <c r="A132" s="4">
        <v>30621</v>
      </c>
      <c r="B132">
        <v>0.32578499999999999</v>
      </c>
    </row>
    <row r="133" spans="1:2" hidden="1" x14ac:dyDescent="0.35">
      <c r="A133" s="4">
        <v>30651</v>
      </c>
      <c r="B133">
        <v>0.357437</v>
      </c>
    </row>
    <row r="134" spans="1:2" hidden="1" x14ac:dyDescent="0.35">
      <c r="A134" s="4">
        <v>30682</v>
      </c>
      <c r="B134">
        <v>0.35560700000000001</v>
      </c>
    </row>
    <row r="135" spans="1:2" hidden="1" x14ac:dyDescent="0.35">
      <c r="A135" s="4">
        <v>30713</v>
      </c>
      <c r="B135">
        <v>0.33323799999999998</v>
      </c>
    </row>
    <row r="136" spans="1:2" hidden="1" x14ac:dyDescent="0.35">
      <c r="A136" s="4">
        <v>30742</v>
      </c>
      <c r="B136">
        <v>0.358566</v>
      </c>
    </row>
    <row r="137" spans="1:2" hidden="1" x14ac:dyDescent="0.35">
      <c r="A137" s="4">
        <v>30773</v>
      </c>
      <c r="B137">
        <v>0.34875600000000001</v>
      </c>
    </row>
    <row r="138" spans="1:2" hidden="1" x14ac:dyDescent="0.35">
      <c r="A138" s="4">
        <v>30803</v>
      </c>
      <c r="B138">
        <v>0.36321199999999998</v>
      </c>
    </row>
    <row r="139" spans="1:2" hidden="1" x14ac:dyDescent="0.35">
      <c r="A139" s="4">
        <v>30834</v>
      </c>
      <c r="B139">
        <v>0.34462300000000001</v>
      </c>
    </row>
    <row r="140" spans="1:2" hidden="1" x14ac:dyDescent="0.35">
      <c r="A140" s="4">
        <v>30864</v>
      </c>
      <c r="B140">
        <v>0.34836600000000001</v>
      </c>
    </row>
    <row r="141" spans="1:2" hidden="1" x14ac:dyDescent="0.35">
      <c r="A141" s="4">
        <v>30895</v>
      </c>
      <c r="B141">
        <v>0.340669</v>
      </c>
    </row>
    <row r="142" spans="1:2" hidden="1" x14ac:dyDescent="0.35">
      <c r="A142" s="4">
        <v>30926</v>
      </c>
      <c r="B142">
        <v>0.31788699999999998</v>
      </c>
    </row>
    <row r="143" spans="1:2" hidden="1" x14ac:dyDescent="0.35">
      <c r="A143" s="4">
        <v>30956</v>
      </c>
      <c r="B143">
        <v>0.32637300000000002</v>
      </c>
    </row>
    <row r="144" spans="1:2" hidden="1" x14ac:dyDescent="0.35">
      <c r="A144" s="4">
        <v>30987</v>
      </c>
      <c r="B144">
        <v>0.32317200000000001</v>
      </c>
    </row>
    <row r="145" spans="1:2" hidden="1" x14ac:dyDescent="0.35">
      <c r="A145" s="4">
        <v>31017</v>
      </c>
      <c r="B145">
        <v>0.34365200000000001</v>
      </c>
    </row>
    <row r="146" spans="1:2" hidden="1" x14ac:dyDescent="0.35">
      <c r="A146" s="4">
        <v>31048</v>
      </c>
      <c r="B146">
        <v>0.353933</v>
      </c>
    </row>
    <row r="147" spans="1:2" hidden="1" x14ac:dyDescent="0.35">
      <c r="A147" s="4">
        <v>31079</v>
      </c>
      <c r="B147">
        <v>0.32306699999999999</v>
      </c>
    </row>
    <row r="148" spans="1:2" hidden="1" x14ac:dyDescent="0.35">
      <c r="A148" s="4">
        <v>31107</v>
      </c>
      <c r="B148">
        <v>0.34408300000000003</v>
      </c>
    </row>
    <row r="149" spans="1:2" hidden="1" x14ac:dyDescent="0.35">
      <c r="A149" s="4">
        <v>31138</v>
      </c>
      <c r="B149">
        <v>0.33425899999999997</v>
      </c>
    </row>
    <row r="150" spans="1:2" hidden="1" x14ac:dyDescent="0.35">
      <c r="A150" s="4">
        <v>31168</v>
      </c>
      <c r="B150">
        <v>0.34964400000000001</v>
      </c>
    </row>
    <row r="151" spans="1:2" hidden="1" x14ac:dyDescent="0.35">
      <c r="A151" s="4">
        <v>31199</v>
      </c>
      <c r="B151">
        <v>0.332457</v>
      </c>
    </row>
    <row r="152" spans="1:2" hidden="1" x14ac:dyDescent="0.35">
      <c r="A152" s="4">
        <v>31229</v>
      </c>
      <c r="B152">
        <v>0.33239299999999999</v>
      </c>
    </row>
    <row r="153" spans="1:2" hidden="1" x14ac:dyDescent="0.35">
      <c r="A153" s="4">
        <v>31260</v>
      </c>
      <c r="B153">
        <v>0.32802599999999998</v>
      </c>
    </row>
    <row r="154" spans="1:2" hidden="1" x14ac:dyDescent="0.35">
      <c r="A154" s="4">
        <v>31291</v>
      </c>
      <c r="B154">
        <v>0.31536700000000001</v>
      </c>
    </row>
    <row r="155" spans="1:2" hidden="1" x14ac:dyDescent="0.35">
      <c r="A155" s="4">
        <v>31321</v>
      </c>
      <c r="B155">
        <v>0.32777600000000001</v>
      </c>
    </row>
    <row r="156" spans="1:2" hidden="1" x14ac:dyDescent="0.35">
      <c r="A156" s="4">
        <v>31352</v>
      </c>
      <c r="B156">
        <v>0.33022200000000002</v>
      </c>
    </row>
    <row r="157" spans="1:2" hidden="1" x14ac:dyDescent="0.35">
      <c r="A157" s="4">
        <v>31382</v>
      </c>
      <c r="B157">
        <v>0.34694700000000001</v>
      </c>
    </row>
    <row r="158" spans="1:2" hidden="1" x14ac:dyDescent="0.35">
      <c r="A158" s="4">
        <v>31413</v>
      </c>
      <c r="B158">
        <v>0.32655200000000001</v>
      </c>
    </row>
    <row r="159" spans="1:2" hidden="1" x14ac:dyDescent="0.35">
      <c r="A159" s="4">
        <v>31444</v>
      </c>
      <c r="B159">
        <v>0.307952</v>
      </c>
    </row>
    <row r="160" spans="1:2" hidden="1" x14ac:dyDescent="0.35">
      <c r="A160" s="4">
        <v>31472</v>
      </c>
      <c r="B160">
        <v>0.349995</v>
      </c>
    </row>
    <row r="161" spans="1:2" hidden="1" x14ac:dyDescent="0.35">
      <c r="A161" s="4">
        <v>31503</v>
      </c>
      <c r="B161">
        <v>0.33848699999999998</v>
      </c>
    </row>
    <row r="162" spans="1:2" hidden="1" x14ac:dyDescent="0.35">
      <c r="A162" s="4">
        <v>31533</v>
      </c>
      <c r="B162">
        <v>0.34558699999999998</v>
      </c>
    </row>
    <row r="163" spans="1:2" hidden="1" x14ac:dyDescent="0.35">
      <c r="A163" s="4">
        <v>31564</v>
      </c>
      <c r="B163">
        <v>0.33444200000000002</v>
      </c>
    </row>
    <row r="164" spans="1:2" hidden="1" x14ac:dyDescent="0.35">
      <c r="A164" s="4">
        <v>31594</v>
      </c>
      <c r="B164">
        <v>0.33533400000000002</v>
      </c>
    </row>
    <row r="165" spans="1:2" hidden="1" x14ac:dyDescent="0.35">
      <c r="A165" s="4">
        <v>31625</v>
      </c>
      <c r="B165">
        <v>0.32550099999999998</v>
      </c>
    </row>
    <row r="166" spans="1:2" hidden="1" x14ac:dyDescent="0.35">
      <c r="A166" s="4">
        <v>31656</v>
      </c>
      <c r="B166">
        <v>0.31653900000000001</v>
      </c>
    </row>
    <row r="167" spans="1:2" hidden="1" x14ac:dyDescent="0.35">
      <c r="A167" s="4">
        <v>31686</v>
      </c>
      <c r="B167">
        <v>0.325125</v>
      </c>
    </row>
    <row r="168" spans="1:2" hidden="1" x14ac:dyDescent="0.35">
      <c r="A168" s="4">
        <v>31717</v>
      </c>
      <c r="B168">
        <v>0.32317200000000001</v>
      </c>
    </row>
    <row r="169" spans="1:2" hidden="1" x14ac:dyDescent="0.35">
      <c r="A169" s="4">
        <v>31747</v>
      </c>
      <c r="B169">
        <v>0.34178700000000001</v>
      </c>
    </row>
    <row r="170" spans="1:2" hidden="1" x14ac:dyDescent="0.35">
      <c r="A170" s="4">
        <v>31778</v>
      </c>
      <c r="B170">
        <v>0.33489000000000002</v>
      </c>
    </row>
    <row r="171" spans="1:2" hidden="1" x14ac:dyDescent="0.35">
      <c r="A171" s="4">
        <v>31809</v>
      </c>
      <c r="B171">
        <v>0.29660599999999998</v>
      </c>
    </row>
    <row r="172" spans="1:2" hidden="1" x14ac:dyDescent="0.35">
      <c r="A172" s="4">
        <v>31837</v>
      </c>
      <c r="B172">
        <v>0.32754100000000003</v>
      </c>
    </row>
    <row r="173" spans="1:2" hidden="1" x14ac:dyDescent="0.35">
      <c r="A173" s="4">
        <v>31868</v>
      </c>
      <c r="B173">
        <v>0.31523099999999998</v>
      </c>
    </row>
    <row r="174" spans="1:2" hidden="1" x14ac:dyDescent="0.35">
      <c r="A174" s="4">
        <v>31898</v>
      </c>
      <c r="B174">
        <v>0.33079700000000001</v>
      </c>
    </row>
    <row r="175" spans="1:2" hidden="1" x14ac:dyDescent="0.35">
      <c r="A175" s="4">
        <v>31929</v>
      </c>
      <c r="B175">
        <v>0.31195699999999998</v>
      </c>
    </row>
    <row r="176" spans="1:2" hidden="1" x14ac:dyDescent="0.35">
      <c r="A176" s="4">
        <v>31959</v>
      </c>
      <c r="B176">
        <v>0.31749500000000003</v>
      </c>
    </row>
    <row r="177" spans="1:2" hidden="1" x14ac:dyDescent="0.35">
      <c r="A177" s="4">
        <v>31990</v>
      </c>
      <c r="B177">
        <v>0.31139499999999998</v>
      </c>
    </row>
    <row r="178" spans="1:2" hidden="1" x14ac:dyDescent="0.35">
      <c r="A178" s="4">
        <v>32021</v>
      </c>
      <c r="B178">
        <v>0.30209000000000003</v>
      </c>
    </row>
    <row r="179" spans="1:2" hidden="1" x14ac:dyDescent="0.35">
      <c r="A179" s="4">
        <v>32051</v>
      </c>
      <c r="B179">
        <v>0.30909500000000001</v>
      </c>
    </row>
    <row r="180" spans="1:2" hidden="1" x14ac:dyDescent="0.35">
      <c r="A180" s="4">
        <v>32082</v>
      </c>
      <c r="B180">
        <v>0.29743900000000001</v>
      </c>
    </row>
    <row r="181" spans="1:2" hidden="1" x14ac:dyDescent="0.35">
      <c r="A181" s="4">
        <v>32112</v>
      </c>
      <c r="B181">
        <v>0.31990800000000003</v>
      </c>
    </row>
    <row r="182" spans="1:2" hidden="1" x14ac:dyDescent="0.35">
      <c r="A182" s="4">
        <v>32143</v>
      </c>
      <c r="B182">
        <v>0.33458300000000002</v>
      </c>
    </row>
    <row r="183" spans="1:2" hidden="1" x14ac:dyDescent="0.35">
      <c r="A183" s="4">
        <v>32174</v>
      </c>
      <c r="B183">
        <v>0.307533</v>
      </c>
    </row>
    <row r="184" spans="1:2" hidden="1" x14ac:dyDescent="0.35">
      <c r="A184" s="4">
        <v>32203</v>
      </c>
      <c r="B184">
        <v>0.326015</v>
      </c>
    </row>
    <row r="185" spans="1:2" hidden="1" x14ac:dyDescent="0.35">
      <c r="A185" s="4">
        <v>32234</v>
      </c>
      <c r="B185">
        <v>0.31623200000000001</v>
      </c>
    </row>
    <row r="186" spans="1:2" hidden="1" x14ac:dyDescent="0.35">
      <c r="A186" s="4">
        <v>32264</v>
      </c>
      <c r="B186">
        <v>0.33153899999999997</v>
      </c>
    </row>
    <row r="187" spans="1:2" hidden="1" x14ac:dyDescent="0.35">
      <c r="A187" s="4">
        <v>32295</v>
      </c>
      <c r="B187">
        <v>0.31560300000000002</v>
      </c>
    </row>
    <row r="188" spans="1:2" hidden="1" x14ac:dyDescent="0.35">
      <c r="A188" s="4">
        <v>32325</v>
      </c>
      <c r="B188">
        <v>0.31739099999999998</v>
      </c>
    </row>
    <row r="189" spans="1:2" hidden="1" x14ac:dyDescent="0.35">
      <c r="A189" s="4">
        <v>32356</v>
      </c>
      <c r="B189">
        <v>0.31576599999999999</v>
      </c>
    </row>
    <row r="190" spans="1:2" hidden="1" x14ac:dyDescent="0.35">
      <c r="A190" s="4">
        <v>32387</v>
      </c>
      <c r="B190">
        <v>0.30649999999999999</v>
      </c>
    </row>
    <row r="191" spans="1:2" hidden="1" x14ac:dyDescent="0.35">
      <c r="A191" s="4">
        <v>32417</v>
      </c>
      <c r="B191">
        <v>0.31073699999999999</v>
      </c>
    </row>
    <row r="192" spans="1:2" hidden="1" x14ac:dyDescent="0.35">
      <c r="A192" s="4">
        <v>32448</v>
      </c>
      <c r="B192">
        <v>0.31379200000000002</v>
      </c>
    </row>
    <row r="193" spans="1:2" hidden="1" x14ac:dyDescent="0.35">
      <c r="A193" s="4">
        <v>32478</v>
      </c>
      <c r="B193">
        <v>0.326992</v>
      </c>
    </row>
    <row r="194" spans="1:2" hidden="1" x14ac:dyDescent="0.35">
      <c r="A194" s="4">
        <v>32509</v>
      </c>
      <c r="B194">
        <v>0.34832099999999999</v>
      </c>
    </row>
    <row r="195" spans="1:2" hidden="1" x14ac:dyDescent="0.35">
      <c r="A195" s="4">
        <v>32540</v>
      </c>
      <c r="B195">
        <v>0.31757200000000002</v>
      </c>
    </row>
    <row r="196" spans="1:2" hidden="1" x14ac:dyDescent="0.35">
      <c r="A196" s="4">
        <v>32568</v>
      </c>
      <c r="B196">
        <v>0.35811500000000002</v>
      </c>
    </row>
    <row r="197" spans="1:2" hidden="1" x14ac:dyDescent="0.35">
      <c r="A197" s="4">
        <v>32599</v>
      </c>
      <c r="B197">
        <v>0.34651100000000001</v>
      </c>
    </row>
    <row r="198" spans="1:2" hidden="1" x14ac:dyDescent="0.35">
      <c r="A198" s="4">
        <v>32629</v>
      </c>
      <c r="B198">
        <v>0.350304</v>
      </c>
    </row>
    <row r="199" spans="1:2" hidden="1" x14ac:dyDescent="0.35">
      <c r="A199" s="4">
        <v>32660</v>
      </c>
      <c r="B199">
        <v>0.34975299999999998</v>
      </c>
    </row>
    <row r="200" spans="1:2" hidden="1" x14ac:dyDescent="0.35">
      <c r="A200" s="4">
        <v>32690</v>
      </c>
      <c r="B200">
        <v>0.35171999999999998</v>
      </c>
    </row>
    <row r="201" spans="1:2" hidden="1" x14ac:dyDescent="0.35">
      <c r="A201" s="4">
        <v>32721</v>
      </c>
      <c r="B201">
        <v>0.35832000000000003</v>
      </c>
    </row>
    <row r="202" spans="1:2" hidden="1" x14ac:dyDescent="0.35">
      <c r="A202" s="4">
        <v>32752</v>
      </c>
      <c r="B202">
        <v>0.341553</v>
      </c>
    </row>
    <row r="203" spans="1:2" hidden="1" x14ac:dyDescent="0.35">
      <c r="A203" s="4">
        <v>32782</v>
      </c>
      <c r="B203">
        <v>0.356682</v>
      </c>
    </row>
    <row r="204" spans="1:2" hidden="1" x14ac:dyDescent="0.35">
      <c r="A204" s="4">
        <v>32813</v>
      </c>
      <c r="B204">
        <v>0.35973100000000002</v>
      </c>
    </row>
    <row r="205" spans="1:2" hidden="1" x14ac:dyDescent="0.35">
      <c r="A205" s="4">
        <v>32843</v>
      </c>
      <c r="B205">
        <v>0.36755500000000002</v>
      </c>
    </row>
    <row r="206" spans="1:2" hidden="1" x14ac:dyDescent="0.35">
      <c r="A206" s="4">
        <v>32874</v>
      </c>
      <c r="B206">
        <v>0.32932699999999998</v>
      </c>
    </row>
    <row r="207" spans="1:2" hidden="1" x14ac:dyDescent="0.35">
      <c r="A207" s="4">
        <v>32905</v>
      </c>
      <c r="B207">
        <v>0.321465</v>
      </c>
    </row>
    <row r="208" spans="1:2" hidden="1" x14ac:dyDescent="0.35">
      <c r="A208" s="4">
        <v>32933</v>
      </c>
      <c r="B208">
        <v>0.35395599999999999</v>
      </c>
    </row>
    <row r="209" spans="1:2" hidden="1" x14ac:dyDescent="0.35">
      <c r="A209" s="4">
        <v>32964</v>
      </c>
      <c r="B209">
        <v>0.33413599999999999</v>
      </c>
    </row>
    <row r="210" spans="1:2" hidden="1" x14ac:dyDescent="0.35">
      <c r="A210" s="4">
        <v>32994</v>
      </c>
      <c r="B210">
        <v>0.31779099999999999</v>
      </c>
    </row>
    <row r="211" spans="1:2" hidden="1" x14ac:dyDescent="0.35">
      <c r="A211" s="4">
        <v>33025</v>
      </c>
      <c r="B211">
        <v>0.28927599999999998</v>
      </c>
    </row>
    <row r="212" spans="1:2" hidden="1" x14ac:dyDescent="0.35">
      <c r="A212" s="4">
        <v>33055</v>
      </c>
      <c r="B212">
        <v>0.31587199999999999</v>
      </c>
    </row>
    <row r="213" spans="1:2" hidden="1" x14ac:dyDescent="0.35">
      <c r="A213" s="4">
        <v>33086</v>
      </c>
      <c r="B213">
        <v>0.33257999999999999</v>
      </c>
    </row>
    <row r="214" spans="1:2" hidden="1" x14ac:dyDescent="0.35">
      <c r="A214" s="4">
        <v>33117</v>
      </c>
      <c r="B214">
        <v>0.31196499999999999</v>
      </c>
    </row>
    <row r="215" spans="1:2" hidden="1" x14ac:dyDescent="0.35">
      <c r="A215" s="4">
        <v>33147</v>
      </c>
      <c r="B215">
        <v>0.31287300000000001</v>
      </c>
    </row>
    <row r="216" spans="1:2" hidden="1" x14ac:dyDescent="0.35">
      <c r="A216" s="4">
        <v>33178</v>
      </c>
      <c r="B216">
        <v>0.30188300000000001</v>
      </c>
    </row>
    <row r="217" spans="1:2" hidden="1" x14ac:dyDescent="0.35">
      <c r="A217" s="4">
        <v>33208</v>
      </c>
      <c r="B217">
        <v>0.341584</v>
      </c>
    </row>
    <row r="218" spans="1:2" hidden="1" x14ac:dyDescent="0.35">
      <c r="A218" s="4">
        <v>33239</v>
      </c>
      <c r="B218">
        <v>0.370278</v>
      </c>
    </row>
    <row r="219" spans="1:2" hidden="1" x14ac:dyDescent="0.35">
      <c r="A219" s="4">
        <v>33270</v>
      </c>
      <c r="B219">
        <v>0.29251100000000002</v>
      </c>
    </row>
    <row r="220" spans="1:2" hidden="1" x14ac:dyDescent="0.35">
      <c r="A220" s="4">
        <v>33298</v>
      </c>
      <c r="B220">
        <v>0.31768299999999999</v>
      </c>
    </row>
    <row r="221" spans="1:2" hidden="1" x14ac:dyDescent="0.35">
      <c r="A221" s="4">
        <v>33329</v>
      </c>
      <c r="B221">
        <v>0.29330899999999999</v>
      </c>
    </row>
    <row r="222" spans="1:2" hidden="1" x14ac:dyDescent="0.35">
      <c r="A222" s="4">
        <v>33359</v>
      </c>
      <c r="B222">
        <v>0.32012000000000002</v>
      </c>
    </row>
    <row r="223" spans="1:2" hidden="1" x14ac:dyDescent="0.35">
      <c r="A223" s="4">
        <v>33390</v>
      </c>
      <c r="B223">
        <v>0.31343700000000002</v>
      </c>
    </row>
    <row r="224" spans="1:2" hidden="1" x14ac:dyDescent="0.35">
      <c r="A224" s="4">
        <v>33420</v>
      </c>
      <c r="B224">
        <v>0.309257</v>
      </c>
    </row>
    <row r="225" spans="1:2" hidden="1" x14ac:dyDescent="0.35">
      <c r="A225" s="4">
        <v>33451</v>
      </c>
      <c r="B225">
        <v>0.34081299999999998</v>
      </c>
    </row>
    <row r="226" spans="1:2" hidden="1" x14ac:dyDescent="0.35">
      <c r="A226" s="4">
        <v>33482</v>
      </c>
      <c r="B226">
        <v>0.34512199999999998</v>
      </c>
    </row>
    <row r="227" spans="1:2" hidden="1" x14ac:dyDescent="0.35">
      <c r="A227" s="4">
        <v>33512</v>
      </c>
      <c r="B227">
        <v>0.32445400000000002</v>
      </c>
    </row>
    <row r="228" spans="1:2" hidden="1" x14ac:dyDescent="0.35">
      <c r="A228" s="4">
        <v>33543</v>
      </c>
      <c r="B228">
        <v>0.31875700000000001</v>
      </c>
    </row>
    <row r="229" spans="1:2" hidden="1" x14ac:dyDescent="0.35">
      <c r="A229" s="4">
        <v>33573</v>
      </c>
      <c r="B229">
        <v>0.35569000000000001</v>
      </c>
    </row>
    <row r="230" spans="1:2" hidden="1" x14ac:dyDescent="0.35">
      <c r="A230" s="4">
        <v>33604</v>
      </c>
      <c r="B230">
        <v>0.36657699999999999</v>
      </c>
    </row>
    <row r="231" spans="1:2" hidden="1" x14ac:dyDescent="0.35">
      <c r="A231" s="4">
        <v>33635</v>
      </c>
      <c r="B231">
        <v>0.305537</v>
      </c>
    </row>
    <row r="232" spans="1:2" hidden="1" x14ac:dyDescent="0.35">
      <c r="A232" s="4">
        <v>33664</v>
      </c>
      <c r="B232">
        <v>0.31129899999999999</v>
      </c>
    </row>
    <row r="233" spans="1:2" hidden="1" x14ac:dyDescent="0.35">
      <c r="A233" s="4">
        <v>33695</v>
      </c>
      <c r="B233">
        <v>0.29207300000000003</v>
      </c>
    </row>
    <row r="234" spans="1:2" hidden="1" x14ac:dyDescent="0.35">
      <c r="A234" s="4">
        <v>33725</v>
      </c>
      <c r="B234">
        <v>0.28236099999999997</v>
      </c>
    </row>
    <row r="235" spans="1:2" hidden="1" x14ac:dyDescent="0.35">
      <c r="A235" s="4">
        <v>33756</v>
      </c>
      <c r="B235">
        <v>0.323546</v>
      </c>
    </row>
    <row r="236" spans="1:2" hidden="1" x14ac:dyDescent="0.35">
      <c r="A236" s="4">
        <v>33786</v>
      </c>
      <c r="B236">
        <v>0.333005</v>
      </c>
    </row>
    <row r="237" spans="1:2" hidden="1" x14ac:dyDescent="0.35">
      <c r="A237" s="4">
        <v>33817</v>
      </c>
      <c r="B237">
        <v>0.34750999999999999</v>
      </c>
    </row>
    <row r="238" spans="1:2" hidden="1" x14ac:dyDescent="0.35">
      <c r="A238" s="4">
        <v>33848</v>
      </c>
      <c r="B238">
        <v>0.32402700000000001</v>
      </c>
    </row>
    <row r="239" spans="1:2" hidden="1" x14ac:dyDescent="0.35">
      <c r="A239" s="4">
        <v>33878</v>
      </c>
      <c r="B239">
        <v>0.34056500000000001</v>
      </c>
    </row>
    <row r="240" spans="1:2" hidden="1" x14ac:dyDescent="0.35">
      <c r="A240" s="4">
        <v>33909</v>
      </c>
      <c r="B240">
        <v>0.34504800000000002</v>
      </c>
    </row>
    <row r="241" spans="1:2" hidden="1" x14ac:dyDescent="0.35">
      <c r="A241" s="4">
        <v>33939</v>
      </c>
      <c r="B241">
        <v>0.36020000000000002</v>
      </c>
    </row>
    <row r="242" spans="1:2" hidden="1" x14ac:dyDescent="0.35">
      <c r="A242" s="4">
        <v>33970</v>
      </c>
      <c r="B242">
        <v>0.37248500000000001</v>
      </c>
    </row>
    <row r="243" spans="1:2" hidden="1" x14ac:dyDescent="0.35">
      <c r="A243" s="4">
        <v>34001</v>
      </c>
      <c r="B243">
        <v>0.322577</v>
      </c>
    </row>
    <row r="244" spans="1:2" hidden="1" x14ac:dyDescent="0.35">
      <c r="A244" s="4">
        <v>34029</v>
      </c>
      <c r="B244">
        <v>0.36007699999999998</v>
      </c>
    </row>
    <row r="245" spans="1:2" hidden="1" x14ac:dyDescent="0.35">
      <c r="A245" s="4">
        <v>34060</v>
      </c>
      <c r="B245">
        <v>0.32983099999999999</v>
      </c>
    </row>
    <row r="246" spans="1:2" hidden="1" x14ac:dyDescent="0.35">
      <c r="A246" s="4">
        <v>34090</v>
      </c>
      <c r="B246">
        <v>0.31254399999999999</v>
      </c>
    </row>
    <row r="247" spans="1:2" hidden="1" x14ac:dyDescent="0.35">
      <c r="A247" s="4">
        <v>34121</v>
      </c>
      <c r="B247">
        <v>0.30396800000000002</v>
      </c>
    </row>
    <row r="248" spans="1:2" hidden="1" x14ac:dyDescent="0.35">
      <c r="A248" s="4">
        <v>34151</v>
      </c>
      <c r="B248">
        <v>0.30972499999999997</v>
      </c>
    </row>
    <row r="249" spans="1:2" hidden="1" x14ac:dyDescent="0.35">
      <c r="A249" s="4">
        <v>34182</v>
      </c>
      <c r="B249">
        <v>0.34576200000000001</v>
      </c>
    </row>
    <row r="250" spans="1:2" hidden="1" x14ac:dyDescent="0.35">
      <c r="A250" s="4">
        <v>34213</v>
      </c>
      <c r="B250">
        <v>0.32541599999999998</v>
      </c>
    </row>
    <row r="251" spans="1:2" hidden="1" x14ac:dyDescent="0.35">
      <c r="A251" s="4">
        <v>34243</v>
      </c>
      <c r="B251">
        <v>0.33163700000000002</v>
      </c>
    </row>
    <row r="252" spans="1:2" hidden="1" x14ac:dyDescent="0.35">
      <c r="A252" s="4">
        <v>34274</v>
      </c>
      <c r="B252">
        <v>0.34013199999999999</v>
      </c>
    </row>
    <row r="253" spans="1:2" hidden="1" x14ac:dyDescent="0.35">
      <c r="A253" s="4">
        <v>34304</v>
      </c>
      <c r="B253">
        <v>0.35288199999999997</v>
      </c>
    </row>
    <row r="254" spans="1:2" hidden="1" x14ac:dyDescent="0.35">
      <c r="A254" s="4">
        <v>34335</v>
      </c>
      <c r="B254">
        <v>0.38979000000000003</v>
      </c>
    </row>
    <row r="255" spans="1:2" hidden="1" x14ac:dyDescent="0.35">
      <c r="A255" s="4">
        <v>34366</v>
      </c>
      <c r="B255">
        <v>0.324355</v>
      </c>
    </row>
    <row r="256" spans="1:2" hidden="1" x14ac:dyDescent="0.35">
      <c r="A256" s="4">
        <v>34394</v>
      </c>
      <c r="B256">
        <v>0.35479699999999997</v>
      </c>
    </row>
    <row r="257" spans="1:2" hidden="1" x14ac:dyDescent="0.35">
      <c r="A257" s="4">
        <v>34425</v>
      </c>
      <c r="B257">
        <v>0.33361800000000003</v>
      </c>
    </row>
    <row r="258" spans="1:2" hidden="1" x14ac:dyDescent="0.35">
      <c r="A258" s="4">
        <v>34455</v>
      </c>
      <c r="B258">
        <v>0.30370200000000003</v>
      </c>
    </row>
    <row r="259" spans="1:2" hidden="1" x14ac:dyDescent="0.35">
      <c r="A259" s="4">
        <v>34486</v>
      </c>
      <c r="B259">
        <v>0.31310399999999999</v>
      </c>
    </row>
    <row r="260" spans="1:2" hidden="1" x14ac:dyDescent="0.35">
      <c r="A260" s="4">
        <v>34516</v>
      </c>
      <c r="B260">
        <v>0.36640800000000001</v>
      </c>
    </row>
    <row r="261" spans="1:2" hidden="1" x14ac:dyDescent="0.35">
      <c r="A261" s="4">
        <v>34547</v>
      </c>
      <c r="B261">
        <v>0.33378200000000002</v>
      </c>
    </row>
    <row r="262" spans="1:2" hidden="1" x14ac:dyDescent="0.35">
      <c r="A262" s="4">
        <v>34578</v>
      </c>
      <c r="B262">
        <v>0.304919</v>
      </c>
    </row>
    <row r="263" spans="1:2" hidden="1" x14ac:dyDescent="0.35">
      <c r="A263" s="4">
        <v>34608</v>
      </c>
      <c r="B263">
        <v>0.34507100000000002</v>
      </c>
    </row>
    <row r="264" spans="1:2" hidden="1" x14ac:dyDescent="0.35">
      <c r="A264" s="4">
        <v>34639</v>
      </c>
      <c r="B264">
        <v>0.33795700000000001</v>
      </c>
    </row>
    <row r="265" spans="1:2" hidden="1" x14ac:dyDescent="0.35">
      <c r="A265" s="4">
        <v>34669</v>
      </c>
      <c r="B265">
        <v>0.34895799999999999</v>
      </c>
    </row>
    <row r="266" spans="1:2" hidden="1" x14ac:dyDescent="0.35">
      <c r="A266" s="4">
        <v>34700</v>
      </c>
      <c r="B266">
        <v>0.335783</v>
      </c>
    </row>
    <row r="267" spans="1:2" hidden="1" x14ac:dyDescent="0.35">
      <c r="A267" s="4">
        <v>34731</v>
      </c>
      <c r="B267">
        <v>0.298846</v>
      </c>
    </row>
    <row r="268" spans="1:2" hidden="1" x14ac:dyDescent="0.35">
      <c r="A268" s="4">
        <v>34759</v>
      </c>
      <c r="B268">
        <v>0.34695399999999998</v>
      </c>
    </row>
    <row r="269" spans="1:2" hidden="1" x14ac:dyDescent="0.35">
      <c r="A269" s="4">
        <v>34790</v>
      </c>
      <c r="B269">
        <v>0.360765</v>
      </c>
    </row>
    <row r="270" spans="1:2" hidden="1" x14ac:dyDescent="0.35">
      <c r="A270" s="4">
        <v>34820</v>
      </c>
      <c r="B270">
        <v>0.33202999999999999</v>
      </c>
    </row>
    <row r="271" spans="1:2" hidden="1" x14ac:dyDescent="0.35">
      <c r="A271" s="4">
        <v>34851</v>
      </c>
      <c r="B271">
        <v>0.34311599999999998</v>
      </c>
    </row>
    <row r="272" spans="1:2" hidden="1" x14ac:dyDescent="0.35">
      <c r="A272" s="4">
        <v>34881</v>
      </c>
      <c r="B272">
        <v>0.39996399999999999</v>
      </c>
    </row>
    <row r="273" spans="1:2" hidden="1" x14ac:dyDescent="0.35">
      <c r="A273" s="4">
        <v>34912</v>
      </c>
      <c r="B273">
        <v>0.39763100000000001</v>
      </c>
    </row>
    <row r="274" spans="1:2" hidden="1" x14ac:dyDescent="0.35">
      <c r="A274" s="4">
        <v>34943</v>
      </c>
      <c r="B274">
        <v>0.349856</v>
      </c>
    </row>
    <row r="275" spans="1:2" hidden="1" x14ac:dyDescent="0.35">
      <c r="A275" s="4">
        <v>34973</v>
      </c>
      <c r="B275">
        <v>0.38705299999999998</v>
      </c>
    </row>
    <row r="276" spans="1:2" hidden="1" x14ac:dyDescent="0.35">
      <c r="A276" s="4">
        <v>35004</v>
      </c>
      <c r="B276">
        <v>0.37103399999999997</v>
      </c>
    </row>
    <row r="277" spans="1:2" hidden="1" x14ac:dyDescent="0.35">
      <c r="A277" s="4">
        <v>35034</v>
      </c>
      <c r="B277">
        <v>0.37361100000000003</v>
      </c>
    </row>
    <row r="278" spans="1:2" hidden="1" x14ac:dyDescent="0.35">
      <c r="A278" s="4">
        <v>35065</v>
      </c>
      <c r="B278">
        <v>0.38697300000000001</v>
      </c>
    </row>
    <row r="279" spans="1:2" hidden="1" x14ac:dyDescent="0.35">
      <c r="A279" s="4">
        <v>35096</v>
      </c>
      <c r="B279">
        <v>0.34484199999999998</v>
      </c>
    </row>
    <row r="280" spans="1:2" hidden="1" x14ac:dyDescent="0.35">
      <c r="A280" s="4">
        <v>35125</v>
      </c>
      <c r="B280">
        <v>0.38571299999999997</v>
      </c>
    </row>
    <row r="281" spans="1:2" hidden="1" x14ac:dyDescent="0.35">
      <c r="A281" s="4">
        <v>35156</v>
      </c>
      <c r="B281">
        <v>0.32596700000000001</v>
      </c>
    </row>
    <row r="282" spans="1:2" hidden="1" x14ac:dyDescent="0.35">
      <c r="A282" s="4">
        <v>35186</v>
      </c>
      <c r="B282">
        <v>0.35709200000000002</v>
      </c>
    </row>
    <row r="283" spans="1:2" hidden="1" x14ac:dyDescent="0.35">
      <c r="A283" s="4">
        <v>35217</v>
      </c>
      <c r="B283">
        <v>0.376357</v>
      </c>
    </row>
    <row r="284" spans="1:2" hidden="1" x14ac:dyDescent="0.35">
      <c r="A284" s="4">
        <v>35247</v>
      </c>
      <c r="B284">
        <v>0.39518399999999998</v>
      </c>
    </row>
    <row r="285" spans="1:2" hidden="1" x14ac:dyDescent="0.35">
      <c r="A285" s="4">
        <v>35278</v>
      </c>
      <c r="B285">
        <v>0.39895000000000003</v>
      </c>
    </row>
    <row r="286" spans="1:2" hidden="1" x14ac:dyDescent="0.35">
      <c r="A286" s="4">
        <v>35309</v>
      </c>
      <c r="B286">
        <v>0.347223</v>
      </c>
    </row>
    <row r="287" spans="1:2" hidden="1" x14ac:dyDescent="0.35">
      <c r="A287" s="4">
        <v>35339</v>
      </c>
      <c r="B287">
        <v>0.39862900000000001</v>
      </c>
    </row>
    <row r="288" spans="1:2" hidden="1" x14ac:dyDescent="0.35">
      <c r="A288" s="4">
        <v>35370</v>
      </c>
      <c r="B288">
        <v>0.38694899999999999</v>
      </c>
    </row>
    <row r="289" spans="1:2" hidden="1" x14ac:dyDescent="0.35">
      <c r="A289" s="4">
        <v>35400</v>
      </c>
      <c r="B289">
        <v>0.37762099999999998</v>
      </c>
    </row>
    <row r="290" spans="1:2" hidden="1" x14ac:dyDescent="0.35">
      <c r="A290" s="4">
        <v>35431</v>
      </c>
      <c r="B290">
        <v>0.396451</v>
      </c>
    </row>
    <row r="291" spans="1:2" hidden="1" x14ac:dyDescent="0.35">
      <c r="A291" s="4">
        <v>35462</v>
      </c>
      <c r="B291">
        <v>0.34243200000000001</v>
      </c>
    </row>
    <row r="292" spans="1:2" hidden="1" x14ac:dyDescent="0.35">
      <c r="A292" s="4">
        <v>35490</v>
      </c>
      <c r="B292">
        <v>0.38134899999999999</v>
      </c>
    </row>
    <row r="293" spans="1:2" hidden="1" x14ac:dyDescent="0.35">
      <c r="A293" s="4">
        <v>35521</v>
      </c>
      <c r="B293">
        <v>0.37396099999999999</v>
      </c>
    </row>
    <row r="294" spans="1:2" hidden="1" x14ac:dyDescent="0.35">
      <c r="A294" s="4">
        <v>35551</v>
      </c>
      <c r="B294">
        <v>0.39631899999999998</v>
      </c>
    </row>
    <row r="295" spans="1:2" hidden="1" x14ac:dyDescent="0.35">
      <c r="A295" s="4">
        <v>35582</v>
      </c>
      <c r="B295">
        <v>0.36159599999999997</v>
      </c>
    </row>
    <row r="296" spans="1:2" hidden="1" x14ac:dyDescent="0.35">
      <c r="A296" s="4">
        <v>35612</v>
      </c>
      <c r="B296">
        <v>0.382384</v>
      </c>
    </row>
    <row r="297" spans="1:2" hidden="1" x14ac:dyDescent="0.35">
      <c r="A297" s="4">
        <v>35643</v>
      </c>
      <c r="B297">
        <v>0.370753</v>
      </c>
    </row>
    <row r="298" spans="1:2" hidden="1" x14ac:dyDescent="0.35">
      <c r="A298" s="4">
        <v>35674</v>
      </c>
      <c r="B298">
        <v>0.34245199999999998</v>
      </c>
    </row>
    <row r="299" spans="1:2" hidden="1" x14ac:dyDescent="0.35">
      <c r="A299" s="4">
        <v>35704</v>
      </c>
      <c r="B299">
        <v>0.403225</v>
      </c>
    </row>
    <row r="300" spans="1:2" hidden="1" x14ac:dyDescent="0.35">
      <c r="A300" s="4">
        <v>35735</v>
      </c>
      <c r="B300">
        <v>0.35611100000000001</v>
      </c>
    </row>
    <row r="301" spans="1:2" hidden="1" x14ac:dyDescent="0.35">
      <c r="A301" s="4">
        <v>35765</v>
      </c>
      <c r="B301">
        <v>0.35634399999999999</v>
      </c>
    </row>
    <row r="302" spans="1:2" hidden="1" x14ac:dyDescent="0.35">
      <c r="A302" s="4">
        <v>35796</v>
      </c>
      <c r="B302">
        <v>0.38583899999999999</v>
      </c>
    </row>
    <row r="303" spans="1:2" hidden="1" x14ac:dyDescent="0.35">
      <c r="A303" s="4">
        <v>35827</v>
      </c>
      <c r="B303">
        <v>0.323992</v>
      </c>
    </row>
    <row r="304" spans="1:2" hidden="1" x14ac:dyDescent="0.35">
      <c r="A304" s="4">
        <v>35855</v>
      </c>
      <c r="B304">
        <v>0.36164299999999999</v>
      </c>
    </row>
    <row r="305" spans="1:2" hidden="1" x14ac:dyDescent="0.35">
      <c r="A305" s="4">
        <v>35886</v>
      </c>
      <c r="B305">
        <v>0.34736600000000001</v>
      </c>
    </row>
    <row r="306" spans="1:2" hidden="1" x14ac:dyDescent="0.35">
      <c r="A306" s="4">
        <v>35916</v>
      </c>
      <c r="B306">
        <v>0.37371300000000002</v>
      </c>
    </row>
    <row r="307" spans="1:2" hidden="1" x14ac:dyDescent="0.35">
      <c r="A307" s="4">
        <v>35947</v>
      </c>
      <c r="B307">
        <v>0.30812</v>
      </c>
    </row>
    <row r="308" spans="1:2" hidden="1" x14ac:dyDescent="0.35">
      <c r="A308" s="4">
        <v>35977</v>
      </c>
      <c r="B308">
        <v>0.35827300000000001</v>
      </c>
    </row>
    <row r="309" spans="1:2" hidden="1" x14ac:dyDescent="0.35">
      <c r="A309" s="4">
        <v>36008</v>
      </c>
      <c r="B309">
        <v>0.35410199999999997</v>
      </c>
    </row>
    <row r="310" spans="1:2" hidden="1" x14ac:dyDescent="0.35">
      <c r="A310" s="4">
        <v>36039</v>
      </c>
      <c r="B310">
        <v>0.33263500000000001</v>
      </c>
    </row>
    <row r="311" spans="1:2" hidden="1" x14ac:dyDescent="0.35">
      <c r="A311" s="4">
        <v>36069</v>
      </c>
      <c r="B311">
        <v>0.34620800000000002</v>
      </c>
    </row>
    <row r="312" spans="1:2" hidden="1" x14ac:dyDescent="0.35">
      <c r="A312" s="4">
        <v>36100</v>
      </c>
      <c r="B312">
        <v>0.30936599999999997</v>
      </c>
    </row>
    <row r="313" spans="1:2" hidden="1" x14ac:dyDescent="0.35">
      <c r="A313" s="4">
        <v>36130</v>
      </c>
      <c r="B313">
        <v>0.37144300000000002</v>
      </c>
    </row>
    <row r="314" spans="1:2" hidden="1" x14ac:dyDescent="0.35">
      <c r="A314" s="4">
        <v>36161</v>
      </c>
      <c r="B314">
        <v>0.38301000000000002</v>
      </c>
    </row>
    <row r="315" spans="1:2" hidden="1" x14ac:dyDescent="0.35">
      <c r="A315" s="4">
        <v>36192</v>
      </c>
      <c r="B315">
        <v>0.32807900000000001</v>
      </c>
    </row>
    <row r="316" spans="1:2" hidden="1" x14ac:dyDescent="0.35">
      <c r="A316" s="4">
        <v>36220</v>
      </c>
      <c r="B316">
        <v>0.33323399999999997</v>
      </c>
    </row>
    <row r="317" spans="1:2" hidden="1" x14ac:dyDescent="0.35">
      <c r="A317" s="4">
        <v>36251</v>
      </c>
      <c r="B317">
        <v>0.35281499999999999</v>
      </c>
    </row>
    <row r="318" spans="1:2" hidden="1" x14ac:dyDescent="0.35">
      <c r="A318" s="4">
        <v>36281</v>
      </c>
      <c r="B318">
        <v>0.400059</v>
      </c>
    </row>
    <row r="319" spans="1:2" hidden="1" x14ac:dyDescent="0.35">
      <c r="A319" s="4">
        <v>36312</v>
      </c>
      <c r="B319">
        <v>0.35445900000000002</v>
      </c>
    </row>
    <row r="320" spans="1:2" hidden="1" x14ac:dyDescent="0.35">
      <c r="A320" s="4">
        <v>36342</v>
      </c>
      <c r="B320">
        <v>0.379388</v>
      </c>
    </row>
    <row r="321" spans="1:2" hidden="1" x14ac:dyDescent="0.35">
      <c r="A321" s="4">
        <v>36373</v>
      </c>
      <c r="B321">
        <v>0.35972999999999999</v>
      </c>
    </row>
    <row r="322" spans="1:2" hidden="1" x14ac:dyDescent="0.35">
      <c r="A322" s="4">
        <v>36404</v>
      </c>
      <c r="B322">
        <v>0.32745099999999999</v>
      </c>
    </row>
    <row r="323" spans="1:2" hidden="1" x14ac:dyDescent="0.35">
      <c r="A323" s="4">
        <v>36434</v>
      </c>
      <c r="B323">
        <v>0.30952000000000002</v>
      </c>
    </row>
    <row r="324" spans="1:2" hidden="1" x14ac:dyDescent="0.35">
      <c r="A324" s="4">
        <v>36465</v>
      </c>
      <c r="B324">
        <v>0.3392</v>
      </c>
    </row>
    <row r="325" spans="1:2" hidden="1" x14ac:dyDescent="0.35">
      <c r="A325" s="4">
        <v>36495</v>
      </c>
      <c r="B325">
        <v>0.333816</v>
      </c>
    </row>
    <row r="326" spans="1:2" hidden="1" x14ac:dyDescent="0.35">
      <c r="A326" s="4">
        <v>36526</v>
      </c>
      <c r="B326">
        <v>0.320353</v>
      </c>
    </row>
    <row r="327" spans="1:2" hidden="1" x14ac:dyDescent="0.35">
      <c r="A327" s="4">
        <v>36557</v>
      </c>
      <c r="B327">
        <v>0.33340399999999998</v>
      </c>
    </row>
    <row r="328" spans="1:2" hidden="1" x14ac:dyDescent="0.35">
      <c r="A328" s="4">
        <v>36586</v>
      </c>
      <c r="B328">
        <v>0.366512</v>
      </c>
    </row>
    <row r="329" spans="1:2" hidden="1" x14ac:dyDescent="0.35">
      <c r="A329" s="4">
        <v>36617</v>
      </c>
      <c r="B329">
        <v>0.36273699999999998</v>
      </c>
    </row>
    <row r="330" spans="1:2" hidden="1" x14ac:dyDescent="0.35">
      <c r="A330" s="4">
        <v>36647</v>
      </c>
      <c r="B330">
        <v>0.361371</v>
      </c>
    </row>
    <row r="331" spans="1:2" hidden="1" x14ac:dyDescent="0.35">
      <c r="A331" s="4">
        <v>36678</v>
      </c>
      <c r="B331">
        <v>0.32535700000000001</v>
      </c>
    </row>
    <row r="332" spans="1:2" hidden="1" x14ac:dyDescent="0.35">
      <c r="A332" s="4">
        <v>36708</v>
      </c>
      <c r="B332">
        <v>0.35041099999999997</v>
      </c>
    </row>
    <row r="333" spans="1:2" hidden="1" x14ac:dyDescent="0.35">
      <c r="A333" s="4">
        <v>36739</v>
      </c>
      <c r="B333">
        <v>0.34495500000000001</v>
      </c>
    </row>
    <row r="334" spans="1:2" hidden="1" x14ac:dyDescent="0.35">
      <c r="A334" s="4">
        <v>36770</v>
      </c>
      <c r="B334">
        <v>0.31311299999999997</v>
      </c>
    </row>
    <row r="335" spans="1:2" hidden="1" x14ac:dyDescent="0.35">
      <c r="A335" s="4">
        <v>36800</v>
      </c>
      <c r="B335">
        <v>0.34224599999999999</v>
      </c>
    </row>
    <row r="336" spans="1:2" hidden="1" x14ac:dyDescent="0.35">
      <c r="A336" s="4">
        <v>36831</v>
      </c>
      <c r="B336">
        <v>0.34078700000000001</v>
      </c>
    </row>
    <row r="337" spans="1:2" hidden="1" x14ac:dyDescent="0.35">
      <c r="A337" s="4">
        <v>36861</v>
      </c>
      <c r="B337">
        <v>0.33435199999999998</v>
      </c>
    </row>
    <row r="338" spans="1:2" hidden="1" x14ac:dyDescent="0.35">
      <c r="A338" s="4">
        <v>36892</v>
      </c>
      <c r="B338">
        <v>0.30529699999999999</v>
      </c>
    </row>
    <row r="339" spans="1:2" hidden="1" x14ac:dyDescent="0.35">
      <c r="A339" s="4">
        <v>36923</v>
      </c>
      <c r="B339">
        <v>0.27299899999999999</v>
      </c>
    </row>
    <row r="340" spans="1:2" hidden="1" x14ac:dyDescent="0.35">
      <c r="A340" s="4">
        <v>36951</v>
      </c>
      <c r="B340">
        <v>0.30220200000000003</v>
      </c>
    </row>
    <row r="341" spans="1:2" hidden="1" x14ac:dyDescent="0.35">
      <c r="A341" s="4">
        <v>36982</v>
      </c>
      <c r="B341">
        <v>0.28720000000000001</v>
      </c>
    </row>
    <row r="342" spans="1:2" hidden="1" x14ac:dyDescent="0.35">
      <c r="A342" s="4">
        <v>37012</v>
      </c>
      <c r="B342">
        <v>0.28969200000000001</v>
      </c>
    </row>
    <row r="343" spans="1:2" hidden="1" x14ac:dyDescent="0.35">
      <c r="A343" s="4">
        <v>37043</v>
      </c>
      <c r="B343">
        <v>0.29492000000000002</v>
      </c>
    </row>
    <row r="344" spans="1:2" hidden="1" x14ac:dyDescent="0.35">
      <c r="A344" s="4">
        <v>37073</v>
      </c>
      <c r="B344">
        <v>0.30002899999999999</v>
      </c>
    </row>
    <row r="345" spans="1:2" hidden="1" x14ac:dyDescent="0.35">
      <c r="A345" s="4">
        <v>37104</v>
      </c>
      <c r="B345">
        <v>0.30189500000000002</v>
      </c>
    </row>
    <row r="346" spans="1:2" hidden="1" x14ac:dyDescent="0.35">
      <c r="A346" s="4">
        <v>37135</v>
      </c>
      <c r="B346">
        <v>0.27843299999999999</v>
      </c>
    </row>
    <row r="347" spans="1:2" hidden="1" x14ac:dyDescent="0.35">
      <c r="A347" s="4">
        <v>37165</v>
      </c>
      <c r="B347">
        <v>0.29437200000000002</v>
      </c>
    </row>
    <row r="348" spans="1:2" hidden="1" x14ac:dyDescent="0.35">
      <c r="A348" s="4">
        <v>37196</v>
      </c>
      <c r="B348">
        <v>0.282914</v>
      </c>
    </row>
    <row r="349" spans="1:2" hidden="1" x14ac:dyDescent="0.35">
      <c r="A349" s="4">
        <v>37226</v>
      </c>
      <c r="B349">
        <v>0.30199399999999998</v>
      </c>
    </row>
    <row r="350" spans="1:2" hidden="1" x14ac:dyDescent="0.35">
      <c r="A350" s="4">
        <v>37257</v>
      </c>
      <c r="B350">
        <v>0.31331599999999998</v>
      </c>
    </row>
    <row r="351" spans="1:2" hidden="1" x14ac:dyDescent="0.35">
      <c r="A351" s="4">
        <v>37288</v>
      </c>
      <c r="B351">
        <v>0.27957399999999999</v>
      </c>
    </row>
    <row r="352" spans="1:2" hidden="1" x14ac:dyDescent="0.35">
      <c r="A352" s="4">
        <v>37316</v>
      </c>
      <c r="B352">
        <v>0.29988999999999999</v>
      </c>
    </row>
    <row r="353" spans="1:2" hidden="1" x14ac:dyDescent="0.35">
      <c r="A353" s="4">
        <v>37347</v>
      </c>
      <c r="B353">
        <v>0.30922300000000003</v>
      </c>
    </row>
    <row r="354" spans="1:2" hidden="1" x14ac:dyDescent="0.35">
      <c r="A354" s="4">
        <v>37377</v>
      </c>
      <c r="B354">
        <v>0.33097799999999999</v>
      </c>
    </row>
    <row r="355" spans="1:2" hidden="1" x14ac:dyDescent="0.35">
      <c r="A355" s="4">
        <v>37408</v>
      </c>
      <c r="B355">
        <v>0.32610699999999998</v>
      </c>
    </row>
    <row r="356" spans="1:2" hidden="1" x14ac:dyDescent="0.35">
      <c r="A356" s="4">
        <v>37438</v>
      </c>
      <c r="B356">
        <v>0.33833999999999997</v>
      </c>
    </row>
    <row r="357" spans="1:2" hidden="1" x14ac:dyDescent="0.35">
      <c r="A357" s="4">
        <v>37469</v>
      </c>
      <c r="B357">
        <v>0.31115500000000001</v>
      </c>
    </row>
    <row r="358" spans="1:2" hidden="1" x14ac:dyDescent="0.35">
      <c r="A358" s="4">
        <v>37500</v>
      </c>
      <c r="B358">
        <v>0.30197299999999999</v>
      </c>
    </row>
    <row r="359" spans="1:2" hidden="1" x14ac:dyDescent="0.35">
      <c r="A359" s="4">
        <v>37530</v>
      </c>
      <c r="B359">
        <v>0.31564599999999998</v>
      </c>
    </row>
    <row r="360" spans="1:2" hidden="1" x14ac:dyDescent="0.35">
      <c r="A360" s="4">
        <v>37561</v>
      </c>
      <c r="B360">
        <v>0.311921</v>
      </c>
    </row>
    <row r="361" spans="1:2" hidden="1" x14ac:dyDescent="0.35">
      <c r="A361" s="4">
        <v>37591</v>
      </c>
      <c r="B361">
        <v>0.32803300000000002</v>
      </c>
    </row>
    <row r="362" spans="1:2" hidden="1" x14ac:dyDescent="0.35">
      <c r="A362" s="4">
        <v>37622</v>
      </c>
      <c r="B362">
        <v>0.31662899999999999</v>
      </c>
    </row>
    <row r="363" spans="1:2" hidden="1" x14ac:dyDescent="0.35">
      <c r="A363" s="4">
        <v>37653</v>
      </c>
      <c r="B363">
        <v>0.29519200000000001</v>
      </c>
    </row>
    <row r="364" spans="1:2" hidden="1" x14ac:dyDescent="0.35">
      <c r="A364" s="4">
        <v>37681</v>
      </c>
      <c r="B364">
        <v>0.32810800000000001</v>
      </c>
    </row>
    <row r="365" spans="1:2" hidden="1" x14ac:dyDescent="0.35">
      <c r="A365" s="4">
        <v>37712</v>
      </c>
      <c r="B365">
        <v>0.32796799999999998</v>
      </c>
    </row>
    <row r="366" spans="1:2" hidden="1" x14ac:dyDescent="0.35">
      <c r="A366" s="4">
        <v>37742</v>
      </c>
      <c r="B366">
        <v>0.34516799999999997</v>
      </c>
    </row>
    <row r="367" spans="1:2" hidden="1" x14ac:dyDescent="0.35">
      <c r="A367" s="4">
        <v>37773</v>
      </c>
      <c r="B367">
        <v>0.34034900000000001</v>
      </c>
    </row>
    <row r="368" spans="1:2" hidden="1" x14ac:dyDescent="0.35">
      <c r="A368" s="4">
        <v>37803</v>
      </c>
      <c r="B368">
        <v>0.34187899999999999</v>
      </c>
    </row>
    <row r="369" spans="1:2" hidden="1" x14ac:dyDescent="0.35">
      <c r="A369" s="4">
        <v>37834</v>
      </c>
      <c r="B369">
        <v>0.33395200000000003</v>
      </c>
    </row>
    <row r="370" spans="1:2" hidden="1" x14ac:dyDescent="0.35">
      <c r="A370" s="4">
        <v>37865</v>
      </c>
      <c r="B370">
        <v>0.30677599999999999</v>
      </c>
    </row>
    <row r="371" spans="1:2" hidden="1" x14ac:dyDescent="0.35">
      <c r="A371" s="4">
        <v>37895</v>
      </c>
      <c r="B371">
        <v>0.31400899999999998</v>
      </c>
    </row>
    <row r="372" spans="1:2" hidden="1" x14ac:dyDescent="0.35">
      <c r="A372" s="4">
        <v>37926</v>
      </c>
      <c r="B372">
        <v>0.31707999999999997</v>
      </c>
    </row>
    <row r="373" spans="1:2" hidden="1" x14ac:dyDescent="0.35">
      <c r="A373" s="4">
        <v>37956</v>
      </c>
      <c r="B373">
        <v>0.34876800000000002</v>
      </c>
    </row>
    <row r="374" spans="1:2" hidden="1" x14ac:dyDescent="0.35">
      <c r="A374" s="4">
        <v>37987</v>
      </c>
      <c r="B374">
        <v>0.34807500000000002</v>
      </c>
    </row>
    <row r="375" spans="1:2" hidden="1" x14ac:dyDescent="0.35">
      <c r="A375" s="4">
        <v>38018</v>
      </c>
      <c r="B375">
        <v>0.32290799999999997</v>
      </c>
    </row>
    <row r="376" spans="1:2" hidden="1" x14ac:dyDescent="0.35">
      <c r="A376" s="4">
        <v>38047</v>
      </c>
      <c r="B376">
        <v>0.34226699999999999</v>
      </c>
    </row>
    <row r="377" spans="1:2" hidden="1" x14ac:dyDescent="0.35">
      <c r="A377" s="4">
        <v>38078</v>
      </c>
      <c r="B377">
        <v>0.335227</v>
      </c>
    </row>
    <row r="378" spans="1:2" hidden="1" x14ac:dyDescent="0.35">
      <c r="A378" s="4">
        <v>38108</v>
      </c>
      <c r="B378">
        <v>0.34464699999999998</v>
      </c>
    </row>
    <row r="379" spans="1:2" hidden="1" x14ac:dyDescent="0.35">
      <c r="A379" s="4">
        <v>38139</v>
      </c>
      <c r="B379">
        <v>0.34964699999999999</v>
      </c>
    </row>
    <row r="380" spans="1:2" hidden="1" x14ac:dyDescent="0.35">
      <c r="A380" s="4">
        <v>38169</v>
      </c>
      <c r="B380">
        <v>0.353184</v>
      </c>
    </row>
    <row r="381" spans="1:2" hidden="1" x14ac:dyDescent="0.35">
      <c r="A381" s="4">
        <v>38200</v>
      </c>
      <c r="B381">
        <v>0.343947</v>
      </c>
    </row>
    <row r="382" spans="1:2" hidden="1" x14ac:dyDescent="0.35">
      <c r="A382" s="4">
        <v>38231</v>
      </c>
      <c r="B382">
        <v>0.32908500000000002</v>
      </c>
    </row>
    <row r="383" spans="1:2" hidden="1" x14ac:dyDescent="0.35">
      <c r="A383" s="4">
        <v>38261</v>
      </c>
      <c r="B383">
        <v>0.33398099999999997</v>
      </c>
    </row>
    <row r="384" spans="1:2" hidden="1" x14ac:dyDescent="0.35">
      <c r="A384" s="4">
        <v>38292</v>
      </c>
      <c r="B384">
        <v>0.333005</v>
      </c>
    </row>
    <row r="385" spans="1:2" hidden="1" x14ac:dyDescent="0.35">
      <c r="A385" s="4">
        <v>38322</v>
      </c>
      <c r="B385">
        <v>0.36955399999999999</v>
      </c>
    </row>
    <row r="386" spans="1:2" hidden="1" x14ac:dyDescent="0.35">
      <c r="A386" s="4">
        <v>38353</v>
      </c>
      <c r="B386">
        <v>0.36218099999999998</v>
      </c>
    </row>
    <row r="387" spans="1:2" hidden="1" x14ac:dyDescent="0.35">
      <c r="A387" s="4">
        <v>38384</v>
      </c>
      <c r="B387">
        <v>0.33324900000000002</v>
      </c>
    </row>
    <row r="388" spans="1:2" hidden="1" x14ac:dyDescent="0.35">
      <c r="A388" s="4">
        <v>38412</v>
      </c>
      <c r="B388">
        <v>0.35421900000000001</v>
      </c>
    </row>
    <row r="389" spans="1:2" hidden="1" x14ac:dyDescent="0.35">
      <c r="A389" s="4">
        <v>38443</v>
      </c>
      <c r="B389">
        <v>0.34225699999999998</v>
      </c>
    </row>
    <row r="390" spans="1:2" hidden="1" x14ac:dyDescent="0.35">
      <c r="A390" s="4">
        <v>38473</v>
      </c>
      <c r="B390">
        <v>0.36808200000000002</v>
      </c>
    </row>
    <row r="391" spans="1:2" hidden="1" x14ac:dyDescent="0.35">
      <c r="A391" s="4">
        <v>38504</v>
      </c>
      <c r="B391">
        <v>0.36491200000000001</v>
      </c>
    </row>
    <row r="392" spans="1:2" hidden="1" x14ac:dyDescent="0.35">
      <c r="A392" s="4">
        <v>38534</v>
      </c>
      <c r="B392">
        <v>0.37309199999999998</v>
      </c>
    </row>
    <row r="393" spans="1:2" hidden="1" x14ac:dyDescent="0.35">
      <c r="A393" s="4">
        <v>38565</v>
      </c>
      <c r="B393">
        <v>0.35874</v>
      </c>
    </row>
    <row r="394" spans="1:2" hidden="1" x14ac:dyDescent="0.35">
      <c r="A394" s="4">
        <v>38596</v>
      </c>
      <c r="B394">
        <v>0.33193499999999998</v>
      </c>
    </row>
    <row r="395" spans="1:2" hidden="1" x14ac:dyDescent="0.35">
      <c r="A395" s="4">
        <v>38626</v>
      </c>
      <c r="B395">
        <v>0.34028599999999998</v>
      </c>
    </row>
    <row r="396" spans="1:2" hidden="1" x14ac:dyDescent="0.35">
      <c r="A396" s="4">
        <v>38657</v>
      </c>
      <c r="B396">
        <v>0.340586</v>
      </c>
    </row>
    <row r="397" spans="1:2" hidden="1" x14ac:dyDescent="0.35">
      <c r="A397" s="4">
        <v>38687</v>
      </c>
      <c r="B397">
        <v>0.36336499999999999</v>
      </c>
    </row>
    <row r="398" spans="1:2" hidden="1" x14ac:dyDescent="0.35">
      <c r="A398" s="4">
        <v>38718</v>
      </c>
      <c r="B398">
        <v>0.38715699999999997</v>
      </c>
    </row>
    <row r="399" spans="1:2" hidden="1" x14ac:dyDescent="0.35">
      <c r="A399" s="4">
        <v>38749</v>
      </c>
      <c r="B399">
        <v>0.34581899999999999</v>
      </c>
    </row>
    <row r="400" spans="1:2" hidden="1" x14ac:dyDescent="0.35">
      <c r="A400" s="4">
        <v>38777</v>
      </c>
      <c r="B400">
        <v>0.36742799999999998</v>
      </c>
    </row>
    <row r="401" spans="1:2" hidden="1" x14ac:dyDescent="0.35">
      <c r="A401" s="4">
        <v>38808</v>
      </c>
      <c r="B401">
        <v>0.36981999999999998</v>
      </c>
    </row>
    <row r="402" spans="1:2" hidden="1" x14ac:dyDescent="0.35">
      <c r="A402" s="4">
        <v>38838</v>
      </c>
      <c r="B402">
        <v>0.39361499999999999</v>
      </c>
    </row>
    <row r="403" spans="1:2" hidden="1" x14ac:dyDescent="0.35">
      <c r="A403" s="4">
        <v>38869</v>
      </c>
      <c r="B403">
        <v>0.39269100000000001</v>
      </c>
    </row>
    <row r="404" spans="1:2" hidden="1" x14ac:dyDescent="0.35">
      <c r="A404" s="4">
        <v>38899</v>
      </c>
      <c r="B404">
        <v>0.38673400000000002</v>
      </c>
    </row>
    <row r="405" spans="1:2" hidden="1" x14ac:dyDescent="0.35">
      <c r="A405" s="4">
        <v>38930</v>
      </c>
      <c r="B405">
        <v>0.375697</v>
      </c>
    </row>
    <row r="406" spans="1:2" hidden="1" x14ac:dyDescent="0.35">
      <c r="A406" s="4">
        <v>38961</v>
      </c>
      <c r="B406">
        <v>0.35126099999999999</v>
      </c>
    </row>
    <row r="407" spans="1:2" hidden="1" x14ac:dyDescent="0.35">
      <c r="A407" s="4">
        <v>38991</v>
      </c>
      <c r="B407">
        <v>0.36102800000000002</v>
      </c>
    </row>
    <row r="408" spans="1:2" hidden="1" x14ac:dyDescent="0.35">
      <c r="A408" s="4">
        <v>39022</v>
      </c>
      <c r="B408">
        <v>0.36593799999999999</v>
      </c>
    </row>
    <row r="409" spans="1:2" hidden="1" x14ac:dyDescent="0.35">
      <c r="A409" s="4">
        <v>39052</v>
      </c>
      <c r="B409">
        <v>0.38308300000000001</v>
      </c>
    </row>
    <row r="410" spans="1:2" hidden="1" x14ac:dyDescent="0.35">
      <c r="A410" s="4">
        <v>39083</v>
      </c>
      <c r="B410">
        <v>0.40384599999999998</v>
      </c>
    </row>
    <row r="411" spans="1:2" hidden="1" x14ac:dyDescent="0.35">
      <c r="A411" s="4">
        <v>39114</v>
      </c>
      <c r="B411">
        <v>0.34684900000000002</v>
      </c>
    </row>
    <row r="412" spans="1:2" hidden="1" x14ac:dyDescent="0.35">
      <c r="A412" s="4">
        <v>39142</v>
      </c>
      <c r="B412">
        <v>0.39245600000000003</v>
      </c>
    </row>
    <row r="413" spans="1:2" hidden="1" x14ac:dyDescent="0.35">
      <c r="A413" s="4">
        <v>39173</v>
      </c>
      <c r="B413">
        <v>0.382355</v>
      </c>
    </row>
    <row r="414" spans="1:2" hidden="1" x14ac:dyDescent="0.35">
      <c r="A414" s="4">
        <v>39203</v>
      </c>
      <c r="B414">
        <v>0.397397</v>
      </c>
    </row>
    <row r="415" spans="1:2" hidden="1" x14ac:dyDescent="0.35">
      <c r="A415" s="4">
        <v>39234</v>
      </c>
      <c r="B415">
        <v>0.38428499999999999</v>
      </c>
    </row>
    <row r="416" spans="1:2" hidden="1" x14ac:dyDescent="0.35">
      <c r="A416" s="4">
        <v>39264</v>
      </c>
      <c r="B416">
        <v>0.39288899999999999</v>
      </c>
    </row>
    <row r="417" spans="1:2" hidden="1" x14ac:dyDescent="0.35">
      <c r="A417" s="4">
        <v>39295</v>
      </c>
      <c r="B417">
        <v>0.38665100000000002</v>
      </c>
    </row>
    <row r="418" spans="1:2" hidden="1" x14ac:dyDescent="0.35">
      <c r="A418" s="4">
        <v>39326</v>
      </c>
      <c r="B418">
        <v>0.35962300000000003</v>
      </c>
    </row>
    <row r="419" spans="1:2" hidden="1" x14ac:dyDescent="0.35">
      <c r="A419" s="4">
        <v>39356</v>
      </c>
      <c r="B419">
        <v>0.37704700000000002</v>
      </c>
    </row>
    <row r="420" spans="1:2" hidden="1" x14ac:dyDescent="0.35">
      <c r="A420" s="4">
        <v>39387</v>
      </c>
      <c r="B420">
        <v>0.37150499999999997</v>
      </c>
    </row>
    <row r="421" spans="1:2" hidden="1" x14ac:dyDescent="0.35">
      <c r="A421" s="4">
        <v>39417</v>
      </c>
      <c r="B421">
        <v>0.39995700000000001</v>
      </c>
    </row>
    <row r="422" spans="1:2" hidden="1" x14ac:dyDescent="0.35">
      <c r="A422" s="4">
        <v>39448</v>
      </c>
      <c r="B422">
        <v>0.42390899999999998</v>
      </c>
    </row>
    <row r="423" spans="1:2" hidden="1" x14ac:dyDescent="0.35">
      <c r="A423" s="4">
        <v>39479</v>
      </c>
      <c r="B423">
        <v>0.38812799999999997</v>
      </c>
    </row>
    <row r="424" spans="1:2" hidden="1" x14ac:dyDescent="0.35">
      <c r="A424" s="4">
        <v>39508</v>
      </c>
      <c r="B424">
        <v>0.41728700000000002</v>
      </c>
    </row>
    <row r="425" spans="1:2" hidden="1" x14ac:dyDescent="0.35">
      <c r="A425" s="4">
        <v>39539</v>
      </c>
      <c r="B425">
        <v>0.42036099999999998</v>
      </c>
    </row>
    <row r="426" spans="1:2" hidden="1" x14ac:dyDescent="0.35">
      <c r="A426" s="4">
        <v>39569</v>
      </c>
      <c r="B426">
        <v>0.44563399999999997</v>
      </c>
    </row>
    <row r="427" spans="1:2" hidden="1" x14ac:dyDescent="0.35">
      <c r="A427" s="4">
        <v>39600</v>
      </c>
      <c r="B427">
        <v>0.44314799999999999</v>
      </c>
    </row>
    <row r="428" spans="1:2" hidden="1" x14ac:dyDescent="0.35">
      <c r="A428" s="4">
        <v>39630</v>
      </c>
      <c r="B428">
        <v>0.44573499999999999</v>
      </c>
    </row>
    <row r="429" spans="1:2" hidden="1" x14ac:dyDescent="0.35">
      <c r="A429" s="4">
        <v>39661</v>
      </c>
      <c r="B429">
        <v>0.42999399999999999</v>
      </c>
    </row>
    <row r="430" spans="1:2" hidden="1" x14ac:dyDescent="0.35">
      <c r="A430" s="4">
        <v>39692</v>
      </c>
      <c r="B430">
        <v>0.39930599999999999</v>
      </c>
    </row>
    <row r="431" spans="1:2" hidden="1" x14ac:dyDescent="0.35">
      <c r="A431" s="4">
        <v>39722</v>
      </c>
      <c r="B431">
        <v>0.41439300000000001</v>
      </c>
    </row>
    <row r="432" spans="1:2" hidden="1" x14ac:dyDescent="0.35">
      <c r="A432" s="4">
        <v>39753</v>
      </c>
      <c r="B432">
        <v>0.40753800000000001</v>
      </c>
    </row>
    <row r="433" spans="1:2" hidden="1" x14ac:dyDescent="0.35">
      <c r="A433" s="4">
        <v>39783</v>
      </c>
      <c r="B433">
        <v>0.43227100000000002</v>
      </c>
    </row>
    <row r="434" spans="1:2" hidden="1" x14ac:dyDescent="0.35">
      <c r="A434" s="4">
        <v>39814</v>
      </c>
      <c r="B434">
        <v>0.426373</v>
      </c>
    </row>
    <row r="435" spans="1:2" hidden="1" x14ac:dyDescent="0.35">
      <c r="A435" s="4">
        <v>39845</v>
      </c>
      <c r="B435">
        <v>0.37856499999999998</v>
      </c>
    </row>
    <row r="436" spans="1:2" hidden="1" x14ac:dyDescent="0.35">
      <c r="A436" s="4">
        <v>39873</v>
      </c>
      <c r="B436">
        <v>0.430087</v>
      </c>
    </row>
    <row r="437" spans="1:2" hidden="1" x14ac:dyDescent="0.35">
      <c r="A437" s="4">
        <v>39904</v>
      </c>
      <c r="B437">
        <v>0.43501200000000001</v>
      </c>
    </row>
    <row r="438" spans="1:2" hidden="1" x14ac:dyDescent="0.35">
      <c r="A438" s="4">
        <v>39934</v>
      </c>
      <c r="B438">
        <v>0.46047300000000002</v>
      </c>
    </row>
    <row r="439" spans="1:2" hidden="1" x14ac:dyDescent="0.35">
      <c r="A439" s="4">
        <v>39965</v>
      </c>
      <c r="B439">
        <v>0.45732299999999998</v>
      </c>
    </row>
    <row r="440" spans="1:2" hidden="1" x14ac:dyDescent="0.35">
      <c r="A440" s="4">
        <v>39995</v>
      </c>
      <c r="B440">
        <v>0.455899</v>
      </c>
    </row>
    <row r="441" spans="1:2" hidden="1" x14ac:dyDescent="0.35">
      <c r="A441" s="4">
        <v>40026</v>
      </c>
      <c r="B441">
        <v>0.44968599999999997</v>
      </c>
    </row>
    <row r="442" spans="1:2" hidden="1" x14ac:dyDescent="0.35">
      <c r="A442" s="4">
        <v>40057</v>
      </c>
      <c r="B442">
        <v>0.420236</v>
      </c>
    </row>
    <row r="443" spans="1:2" hidden="1" x14ac:dyDescent="0.35">
      <c r="A443" s="4">
        <v>40087</v>
      </c>
      <c r="B443">
        <v>0.45147700000000002</v>
      </c>
    </row>
    <row r="444" spans="1:2" hidden="1" x14ac:dyDescent="0.35">
      <c r="A444" s="4">
        <v>40118</v>
      </c>
      <c r="B444">
        <v>0.45144099999999998</v>
      </c>
    </row>
    <row r="445" spans="1:2" hidden="1" x14ac:dyDescent="0.35">
      <c r="A445" s="4">
        <v>40148</v>
      </c>
      <c r="B445">
        <v>0.47597499999999998</v>
      </c>
    </row>
    <row r="446" spans="1:2" hidden="1" x14ac:dyDescent="0.35">
      <c r="A446" s="4">
        <v>40179</v>
      </c>
      <c r="B446">
        <v>0.48006700000000002</v>
      </c>
    </row>
    <row r="447" spans="1:2" hidden="1" x14ac:dyDescent="0.35">
      <c r="A447" s="4">
        <v>40210</v>
      </c>
      <c r="B447">
        <v>0.44325399999999998</v>
      </c>
    </row>
    <row r="448" spans="1:2" hidden="1" x14ac:dyDescent="0.35">
      <c r="A448" s="4">
        <v>40238</v>
      </c>
      <c r="B448">
        <v>0.49035699999999999</v>
      </c>
    </row>
    <row r="449" spans="1:2" hidden="1" x14ac:dyDescent="0.35">
      <c r="A449" s="4">
        <v>40269</v>
      </c>
      <c r="B449">
        <v>0.47921200000000003</v>
      </c>
    </row>
    <row r="450" spans="1:2" hidden="1" x14ac:dyDescent="0.35">
      <c r="A450" s="4">
        <v>40299</v>
      </c>
      <c r="B450">
        <v>0.50594499999999998</v>
      </c>
    </row>
    <row r="451" spans="1:2" hidden="1" x14ac:dyDescent="0.35">
      <c r="A451" s="4">
        <v>40330</v>
      </c>
      <c r="B451">
        <v>0.51990099999999995</v>
      </c>
    </row>
    <row r="452" spans="1:2" hidden="1" x14ac:dyDescent="0.35">
      <c r="A452" s="4">
        <v>40360</v>
      </c>
      <c r="B452">
        <v>0.50902499999999995</v>
      </c>
    </row>
    <row r="453" spans="1:2" hidden="1" x14ac:dyDescent="0.35">
      <c r="A453" s="4">
        <v>40391</v>
      </c>
      <c r="B453">
        <v>0.49551099999999998</v>
      </c>
    </row>
    <row r="454" spans="1:2" hidden="1" x14ac:dyDescent="0.35">
      <c r="A454" s="4">
        <v>40422</v>
      </c>
      <c r="B454">
        <v>0.47283599999999998</v>
      </c>
    </row>
    <row r="455" spans="1:2" hidden="1" x14ac:dyDescent="0.35">
      <c r="A455" s="4">
        <v>40452</v>
      </c>
      <c r="B455">
        <v>0.48633700000000002</v>
      </c>
    </row>
    <row r="456" spans="1:2" hidden="1" x14ac:dyDescent="0.35">
      <c r="A456" s="4">
        <v>40483</v>
      </c>
      <c r="B456">
        <v>0.49398199999999998</v>
      </c>
    </row>
    <row r="457" spans="1:2" hidden="1" x14ac:dyDescent="0.35">
      <c r="A457" s="4">
        <v>40513</v>
      </c>
      <c r="B457">
        <v>0.51925699999999997</v>
      </c>
    </row>
    <row r="458" spans="1:2" hidden="1" x14ac:dyDescent="0.35">
      <c r="A458" s="4">
        <v>40544</v>
      </c>
      <c r="B458">
        <v>0.51505299999999998</v>
      </c>
    </row>
    <row r="459" spans="1:2" hidden="1" x14ac:dyDescent="0.35">
      <c r="A459" s="4">
        <v>40575</v>
      </c>
      <c r="B459">
        <v>0.483761</v>
      </c>
    </row>
    <row r="460" spans="1:2" hidden="1" x14ac:dyDescent="0.35">
      <c r="A460" s="4">
        <v>40603</v>
      </c>
      <c r="B460">
        <v>0.54253899999999999</v>
      </c>
    </row>
    <row r="461" spans="1:2" hidden="1" x14ac:dyDescent="0.35">
      <c r="A461" s="4">
        <v>40634</v>
      </c>
      <c r="B461">
        <v>0.52931099999999998</v>
      </c>
    </row>
    <row r="462" spans="1:2" hidden="1" x14ac:dyDescent="0.35">
      <c r="A462" s="4">
        <v>40664</v>
      </c>
      <c r="B462">
        <v>0.547848</v>
      </c>
    </row>
    <row r="463" spans="1:2" hidden="1" x14ac:dyDescent="0.35">
      <c r="A463" s="4">
        <v>40695</v>
      </c>
      <c r="B463">
        <v>0.55329799999999996</v>
      </c>
    </row>
    <row r="464" spans="1:2" hidden="1" x14ac:dyDescent="0.35">
      <c r="A464" s="4">
        <v>40725</v>
      </c>
      <c r="B464">
        <v>0.53974900000000003</v>
      </c>
    </row>
    <row r="465" spans="1:2" hidden="1" x14ac:dyDescent="0.35">
      <c r="A465" s="4">
        <v>40756</v>
      </c>
      <c r="B465">
        <v>0.53353700000000004</v>
      </c>
    </row>
    <row r="466" spans="1:2" hidden="1" x14ac:dyDescent="0.35">
      <c r="A466" s="4">
        <v>40787</v>
      </c>
      <c r="B466">
        <v>0.49338799999999999</v>
      </c>
    </row>
    <row r="467" spans="1:2" hidden="1" x14ac:dyDescent="0.35">
      <c r="A467" s="4">
        <v>40817</v>
      </c>
      <c r="B467">
        <v>0.50874900000000001</v>
      </c>
    </row>
    <row r="468" spans="1:2" hidden="1" x14ac:dyDescent="0.35">
      <c r="A468" s="4">
        <v>40848</v>
      </c>
      <c r="B468">
        <v>0.51779399999999998</v>
      </c>
    </row>
    <row r="469" spans="1:2" hidden="1" x14ac:dyDescent="0.35">
      <c r="A469" s="4">
        <v>40878</v>
      </c>
      <c r="B469">
        <v>0.54303100000000004</v>
      </c>
    </row>
    <row r="470" spans="1:2" hidden="1" x14ac:dyDescent="0.35">
      <c r="A470" s="4">
        <v>40909</v>
      </c>
      <c r="B470">
        <v>0.51785599999999998</v>
      </c>
    </row>
    <row r="471" spans="1:2" hidden="1" x14ac:dyDescent="0.35">
      <c r="A471" s="4">
        <v>40940</v>
      </c>
      <c r="B471">
        <v>0.48243399999999997</v>
      </c>
    </row>
    <row r="472" spans="1:2" hidden="1" x14ac:dyDescent="0.35">
      <c r="A472" s="4">
        <v>40969</v>
      </c>
      <c r="B472">
        <v>0.53418299999999996</v>
      </c>
    </row>
    <row r="473" spans="1:2" hidden="1" x14ac:dyDescent="0.35">
      <c r="A473" s="4">
        <v>41000</v>
      </c>
      <c r="B473">
        <v>0.51590199999999997</v>
      </c>
    </row>
    <row r="474" spans="1:2" hidden="1" x14ac:dyDescent="0.35">
      <c r="A474" s="4">
        <v>41030</v>
      </c>
      <c r="B474">
        <v>0.54427800000000004</v>
      </c>
    </row>
    <row r="475" spans="1:2" hidden="1" x14ac:dyDescent="0.35">
      <c r="A475" s="4">
        <v>41061</v>
      </c>
      <c r="B475">
        <v>0.52893500000000004</v>
      </c>
    </row>
    <row r="476" spans="1:2" hidden="1" x14ac:dyDescent="0.35">
      <c r="A476" s="4">
        <v>41091</v>
      </c>
      <c r="B476">
        <v>0.52106300000000005</v>
      </c>
    </row>
    <row r="477" spans="1:2" hidden="1" x14ac:dyDescent="0.35">
      <c r="A477" s="4">
        <v>41122</v>
      </c>
      <c r="B477">
        <v>0.51863400000000004</v>
      </c>
    </row>
    <row r="478" spans="1:2" hidden="1" x14ac:dyDescent="0.35">
      <c r="A478" s="4">
        <v>41153</v>
      </c>
      <c r="B478">
        <v>0.47457500000000002</v>
      </c>
    </row>
    <row r="479" spans="1:2" hidden="1" x14ac:dyDescent="0.35">
      <c r="A479" s="4">
        <v>41183</v>
      </c>
      <c r="B479">
        <v>0.49727900000000003</v>
      </c>
    </row>
    <row r="480" spans="1:2" hidden="1" x14ac:dyDescent="0.35">
      <c r="A480" s="4">
        <v>41214</v>
      </c>
      <c r="B480">
        <v>0.48954500000000001</v>
      </c>
    </row>
    <row r="481" spans="1:2" hidden="1" x14ac:dyDescent="0.35">
      <c r="A481" s="4">
        <v>41244</v>
      </c>
      <c r="B481">
        <v>0.52566100000000004</v>
      </c>
    </row>
    <row r="482" spans="1:2" hidden="1" x14ac:dyDescent="0.35">
      <c r="A482" s="4">
        <v>41275</v>
      </c>
      <c r="B482">
        <v>0.54172200000000004</v>
      </c>
    </row>
    <row r="483" spans="1:2" hidden="1" x14ac:dyDescent="0.35">
      <c r="A483" s="4">
        <v>41306</v>
      </c>
      <c r="B483">
        <v>0.489703</v>
      </c>
    </row>
    <row r="484" spans="1:2" hidden="1" x14ac:dyDescent="0.35">
      <c r="A484" s="4">
        <v>41334</v>
      </c>
      <c r="B484">
        <v>0.54282900000000001</v>
      </c>
    </row>
    <row r="485" spans="1:2" hidden="1" x14ac:dyDescent="0.35">
      <c r="A485" s="4">
        <v>41365</v>
      </c>
      <c r="B485">
        <v>0.55344499999999996</v>
      </c>
    </row>
    <row r="486" spans="1:2" hidden="1" x14ac:dyDescent="0.35">
      <c r="A486" s="4">
        <v>41395</v>
      </c>
      <c r="B486">
        <v>0.57883899999999999</v>
      </c>
    </row>
    <row r="487" spans="1:2" hidden="1" x14ac:dyDescent="0.35">
      <c r="A487" s="4">
        <v>41426</v>
      </c>
      <c r="B487">
        <v>0.56894100000000003</v>
      </c>
    </row>
    <row r="488" spans="1:2" hidden="1" x14ac:dyDescent="0.35">
      <c r="A488" s="4">
        <v>41456</v>
      </c>
      <c r="B488">
        <v>0.57260900000000003</v>
      </c>
    </row>
    <row r="489" spans="1:2" hidden="1" x14ac:dyDescent="0.35">
      <c r="A489" s="4">
        <v>41487</v>
      </c>
      <c r="B489">
        <v>0.54593999999999998</v>
      </c>
    </row>
    <row r="490" spans="1:2" hidden="1" x14ac:dyDescent="0.35">
      <c r="A490" s="4">
        <v>41518</v>
      </c>
      <c r="B490">
        <v>0.52197700000000002</v>
      </c>
    </row>
    <row r="491" spans="1:2" hidden="1" x14ac:dyDescent="0.35">
      <c r="A491" s="4">
        <v>41548</v>
      </c>
      <c r="B491">
        <v>0.54891699999999999</v>
      </c>
    </row>
    <row r="492" spans="1:2" hidden="1" x14ac:dyDescent="0.35">
      <c r="A492" s="4">
        <v>41579</v>
      </c>
      <c r="B492">
        <v>0.54742599999999997</v>
      </c>
    </row>
    <row r="493" spans="1:2" hidden="1" x14ac:dyDescent="0.35">
      <c r="A493" s="4">
        <v>41609</v>
      </c>
      <c r="B493">
        <v>0.57466899999999999</v>
      </c>
    </row>
    <row r="494" spans="1:2" hidden="1" x14ac:dyDescent="0.35">
      <c r="A494" s="4">
        <v>41640</v>
      </c>
      <c r="B494">
        <v>0.56709399999999999</v>
      </c>
    </row>
    <row r="495" spans="1:2" hidden="1" x14ac:dyDescent="0.35">
      <c r="A495" s="4">
        <v>41671</v>
      </c>
      <c r="B495">
        <v>0.50396600000000003</v>
      </c>
    </row>
    <row r="496" spans="1:2" hidden="1" x14ac:dyDescent="0.35">
      <c r="A496" s="4">
        <v>41699</v>
      </c>
      <c r="B496">
        <v>0.58410899999999999</v>
      </c>
    </row>
    <row r="497" spans="1:2" hidden="1" x14ac:dyDescent="0.35">
      <c r="A497" s="4">
        <v>41730</v>
      </c>
      <c r="B497">
        <v>0.58069700000000002</v>
      </c>
    </row>
    <row r="498" spans="1:2" hidden="1" x14ac:dyDescent="0.35">
      <c r="A498" s="4">
        <v>41760</v>
      </c>
      <c r="B498">
        <v>0.587754</v>
      </c>
    </row>
    <row r="499" spans="1:2" hidden="1" x14ac:dyDescent="0.35">
      <c r="A499" s="4">
        <v>41791</v>
      </c>
      <c r="B499">
        <v>0.58642799999999995</v>
      </c>
    </row>
    <row r="500" spans="1:2" hidden="1" x14ac:dyDescent="0.35">
      <c r="A500" s="4">
        <v>41821</v>
      </c>
      <c r="B500">
        <v>0.58490600000000004</v>
      </c>
    </row>
    <row r="501" spans="1:2" hidden="1" x14ac:dyDescent="0.35">
      <c r="A501" s="4">
        <v>41852</v>
      </c>
      <c r="B501">
        <v>0.56257500000000005</v>
      </c>
    </row>
    <row r="502" spans="1:2" hidden="1" x14ac:dyDescent="0.35">
      <c r="A502" s="4">
        <v>41883</v>
      </c>
      <c r="B502">
        <v>0.52930500000000003</v>
      </c>
    </row>
    <row r="503" spans="1:2" hidden="1" x14ac:dyDescent="0.35">
      <c r="A503" s="4">
        <v>41913</v>
      </c>
      <c r="B503">
        <v>0.55815999999999999</v>
      </c>
    </row>
    <row r="504" spans="1:2" hidden="1" x14ac:dyDescent="0.35">
      <c r="A504" s="4">
        <v>41944</v>
      </c>
      <c r="B504">
        <v>0.56583000000000006</v>
      </c>
    </row>
    <row r="505" spans="1:2" hidden="1" x14ac:dyDescent="0.35">
      <c r="A505" s="4">
        <v>41974</v>
      </c>
      <c r="B505">
        <v>0.585318</v>
      </c>
    </row>
    <row r="506" spans="1:2" hidden="1" x14ac:dyDescent="0.35">
      <c r="A506" s="4">
        <v>42005</v>
      </c>
      <c r="B506">
        <v>0.56567000000000001</v>
      </c>
    </row>
    <row r="507" spans="1:2" hidden="1" x14ac:dyDescent="0.35">
      <c r="A507" s="4">
        <v>42036</v>
      </c>
      <c r="B507">
        <v>0.52870099999999998</v>
      </c>
    </row>
    <row r="508" spans="1:2" hidden="1" x14ac:dyDescent="0.35">
      <c r="A508" s="4">
        <v>42064</v>
      </c>
      <c r="B508">
        <v>0.57515700000000003</v>
      </c>
    </row>
    <row r="509" spans="1:2" hidden="1" x14ac:dyDescent="0.35">
      <c r="A509" s="4">
        <v>42095</v>
      </c>
      <c r="B509">
        <v>0.56746099999999999</v>
      </c>
    </row>
    <row r="510" spans="1:2" hidden="1" x14ac:dyDescent="0.35">
      <c r="A510" s="4">
        <v>42125</v>
      </c>
      <c r="B510">
        <v>0.58038599999999996</v>
      </c>
    </row>
    <row r="511" spans="1:2" hidden="1" x14ac:dyDescent="0.35">
      <c r="A511" s="4">
        <v>42156</v>
      </c>
      <c r="B511">
        <v>0.566168</v>
      </c>
    </row>
    <row r="512" spans="1:2" hidden="1" x14ac:dyDescent="0.35">
      <c r="A512" s="4">
        <v>42186</v>
      </c>
      <c r="B512">
        <v>0.585368</v>
      </c>
    </row>
    <row r="513" spans="1:2" hidden="1" x14ac:dyDescent="0.35">
      <c r="A513" s="4">
        <v>42217</v>
      </c>
      <c r="B513">
        <v>0.57646799999999998</v>
      </c>
    </row>
    <row r="514" spans="1:2" hidden="1" x14ac:dyDescent="0.35">
      <c r="A514" s="4">
        <v>42248</v>
      </c>
      <c r="B514">
        <v>0.54655200000000004</v>
      </c>
    </row>
    <row r="515" spans="1:2" hidden="1" x14ac:dyDescent="0.35">
      <c r="A515" s="4">
        <v>42278</v>
      </c>
      <c r="B515">
        <v>0.55731399999999998</v>
      </c>
    </row>
    <row r="516" spans="1:2" hidden="1" x14ac:dyDescent="0.35">
      <c r="A516" s="4">
        <v>42309</v>
      </c>
      <c r="B516">
        <v>0.57210700000000003</v>
      </c>
    </row>
    <row r="517" spans="1:2" hidden="1" x14ac:dyDescent="0.35">
      <c r="A517" s="4">
        <v>42339</v>
      </c>
      <c r="B517">
        <v>0.60175000000000001</v>
      </c>
    </row>
    <row r="518" spans="1:2" hidden="1" x14ac:dyDescent="0.35">
      <c r="A518" s="4">
        <v>42370</v>
      </c>
      <c r="B518">
        <v>0.58037899999999998</v>
      </c>
    </row>
    <row r="519" spans="1:2" hidden="1" x14ac:dyDescent="0.35">
      <c r="A519" s="4">
        <v>42401</v>
      </c>
      <c r="B519">
        <v>0.572523</v>
      </c>
    </row>
    <row r="520" spans="1:2" hidden="1" x14ac:dyDescent="0.35">
      <c r="A520" s="4">
        <v>42430</v>
      </c>
      <c r="B520">
        <v>0.61708200000000002</v>
      </c>
    </row>
    <row r="521" spans="1:2" hidden="1" x14ac:dyDescent="0.35">
      <c r="A521" s="4">
        <v>42461</v>
      </c>
      <c r="B521">
        <v>0.58320000000000005</v>
      </c>
    </row>
    <row r="522" spans="1:2" hidden="1" x14ac:dyDescent="0.35">
      <c r="A522" s="4">
        <v>42491</v>
      </c>
      <c r="B522">
        <v>0.60618300000000003</v>
      </c>
    </row>
    <row r="523" spans="1:2" hidden="1" x14ac:dyDescent="0.35">
      <c r="A523" s="4">
        <v>42522</v>
      </c>
      <c r="B523">
        <v>0.587866</v>
      </c>
    </row>
    <row r="524" spans="1:2" hidden="1" x14ac:dyDescent="0.35">
      <c r="A524" s="4">
        <v>42552</v>
      </c>
      <c r="B524">
        <v>0.60489099999999996</v>
      </c>
    </row>
    <row r="525" spans="1:2" hidden="1" x14ac:dyDescent="0.35">
      <c r="A525" s="4">
        <v>42583</v>
      </c>
      <c r="B525">
        <v>0.590916</v>
      </c>
    </row>
    <row r="526" spans="1:2" hidden="1" x14ac:dyDescent="0.35">
      <c r="A526" s="4">
        <v>42614</v>
      </c>
      <c r="B526">
        <v>0.56160399999999999</v>
      </c>
    </row>
    <row r="527" spans="1:2" hidden="1" x14ac:dyDescent="0.35">
      <c r="A527" s="4">
        <v>42644</v>
      </c>
      <c r="B527">
        <v>0.57922899999999999</v>
      </c>
    </row>
    <row r="528" spans="1:2" hidden="1" x14ac:dyDescent="0.35">
      <c r="A528" s="4">
        <v>42675</v>
      </c>
      <c r="B528">
        <v>0.58391700000000002</v>
      </c>
    </row>
    <row r="529" spans="1:2" hidden="1" x14ac:dyDescent="0.35">
      <c r="A529" s="4">
        <v>42705</v>
      </c>
      <c r="B529">
        <v>0.64232199999999995</v>
      </c>
    </row>
    <row r="530" spans="1:2" hidden="1" x14ac:dyDescent="0.35">
      <c r="A530" s="4">
        <v>42736</v>
      </c>
      <c r="B530">
        <v>0.60470100000000004</v>
      </c>
    </row>
    <row r="531" spans="1:2" hidden="1" x14ac:dyDescent="0.35">
      <c r="A531" s="4">
        <v>42767</v>
      </c>
      <c r="B531">
        <v>0.56422300000000003</v>
      </c>
    </row>
    <row r="532" spans="1:2" hidden="1" x14ac:dyDescent="0.35">
      <c r="A532" s="4">
        <v>42795</v>
      </c>
      <c r="B532">
        <v>0.651088</v>
      </c>
    </row>
    <row r="533" spans="1:2" hidden="1" x14ac:dyDescent="0.35">
      <c r="A533" s="4">
        <v>42826</v>
      </c>
      <c r="B533">
        <v>0.63048899999999997</v>
      </c>
    </row>
    <row r="534" spans="1:2" hidden="1" x14ac:dyDescent="0.35">
      <c r="A534" s="4">
        <v>42856</v>
      </c>
      <c r="B534">
        <v>0.65992499999999998</v>
      </c>
    </row>
    <row r="535" spans="1:2" hidden="1" x14ac:dyDescent="0.35">
      <c r="A535" s="4">
        <v>42887</v>
      </c>
      <c r="B535">
        <v>0.64263999999999999</v>
      </c>
    </row>
    <row r="536" spans="1:2" hidden="1" x14ac:dyDescent="0.35">
      <c r="A536" s="4">
        <v>42917</v>
      </c>
      <c r="B536">
        <v>0.62049299999999996</v>
      </c>
    </row>
    <row r="537" spans="1:2" hidden="1" x14ac:dyDescent="0.35">
      <c r="A537" s="4">
        <v>42948</v>
      </c>
      <c r="B537">
        <v>0.60741000000000001</v>
      </c>
    </row>
    <row r="538" spans="1:2" hidden="1" x14ac:dyDescent="0.35">
      <c r="A538" s="4">
        <v>42979</v>
      </c>
      <c r="B538">
        <v>0.57447899999999996</v>
      </c>
    </row>
    <row r="539" spans="1:2" hidden="1" x14ac:dyDescent="0.35">
      <c r="A539" s="4">
        <v>43009</v>
      </c>
      <c r="B539">
        <v>0.60438400000000003</v>
      </c>
    </row>
    <row r="540" spans="1:2" hidden="1" x14ac:dyDescent="0.35">
      <c r="A540" s="4">
        <v>43040</v>
      </c>
      <c r="B540">
        <v>0.59757700000000002</v>
      </c>
    </row>
    <row r="541" spans="1:2" hidden="1" x14ac:dyDescent="0.35">
      <c r="A541" s="4">
        <v>43070</v>
      </c>
      <c r="B541">
        <v>0.61678100000000002</v>
      </c>
    </row>
    <row r="542" spans="1:2" hidden="1" x14ac:dyDescent="0.35">
      <c r="A542" s="4">
        <v>43101</v>
      </c>
      <c r="B542">
        <v>0.63358499999999995</v>
      </c>
    </row>
    <row r="543" spans="1:2" hidden="1" x14ac:dyDescent="0.35">
      <c r="A543" s="4">
        <v>43132</v>
      </c>
      <c r="B543">
        <v>0.58401199999999998</v>
      </c>
    </row>
    <row r="544" spans="1:2" hidden="1" x14ac:dyDescent="0.35">
      <c r="A544" s="4">
        <v>43160</v>
      </c>
      <c r="B544">
        <v>0.65022199999999997</v>
      </c>
    </row>
    <row r="545" spans="1:2" hidden="1" x14ac:dyDescent="0.35">
      <c r="A545" s="4">
        <v>43191</v>
      </c>
      <c r="B545">
        <v>0.63809400000000005</v>
      </c>
    </row>
    <row r="546" spans="1:2" hidden="1" x14ac:dyDescent="0.35">
      <c r="A546" s="4">
        <v>43221</v>
      </c>
      <c r="B546">
        <v>0.67449800000000004</v>
      </c>
    </row>
    <row r="547" spans="1:2" hidden="1" x14ac:dyDescent="0.35">
      <c r="A547" s="4">
        <v>43252</v>
      </c>
      <c r="B547">
        <v>0.65389799999999998</v>
      </c>
    </row>
    <row r="548" spans="1:2" hidden="1" x14ac:dyDescent="0.35">
      <c r="A548" s="4">
        <v>43282</v>
      </c>
      <c r="B548">
        <v>0.63205800000000001</v>
      </c>
    </row>
    <row r="549" spans="1:2" hidden="1" x14ac:dyDescent="0.35">
      <c r="A549" s="4">
        <v>43313</v>
      </c>
      <c r="B549">
        <v>0.63800400000000002</v>
      </c>
    </row>
    <row r="550" spans="1:2" hidden="1" x14ac:dyDescent="0.35">
      <c r="A550" s="4">
        <v>43344</v>
      </c>
      <c r="B550">
        <v>0.58135599999999998</v>
      </c>
    </row>
    <row r="551" spans="1:2" hidden="1" x14ac:dyDescent="0.35">
      <c r="A551" s="4">
        <v>43374</v>
      </c>
      <c r="B551">
        <v>0.60936299999999999</v>
      </c>
    </row>
    <row r="552" spans="1:2" hidden="1" x14ac:dyDescent="0.35">
      <c r="A552" s="4">
        <v>43405</v>
      </c>
      <c r="B552">
        <v>0.60404599999999997</v>
      </c>
    </row>
    <row r="553" spans="1:2" hidden="1" x14ac:dyDescent="0.35">
      <c r="A553" s="4">
        <v>43435</v>
      </c>
      <c r="B553">
        <v>0.62692800000000004</v>
      </c>
    </row>
    <row r="554" spans="1:2" hidden="1" x14ac:dyDescent="0.35">
      <c r="A554" s="4">
        <v>43466</v>
      </c>
      <c r="B554">
        <v>0.62076600000000004</v>
      </c>
    </row>
    <row r="555" spans="1:2" hidden="1" x14ac:dyDescent="0.35">
      <c r="A555" s="4">
        <v>43497</v>
      </c>
      <c r="B555">
        <v>0.57985299999999995</v>
      </c>
    </row>
    <row r="556" spans="1:2" hidden="1" x14ac:dyDescent="0.35">
      <c r="A556" s="4">
        <v>43525</v>
      </c>
      <c r="B556">
        <v>0.64612700000000001</v>
      </c>
    </row>
    <row r="557" spans="1:2" hidden="1" x14ac:dyDescent="0.35">
      <c r="A557" s="4">
        <v>43556</v>
      </c>
      <c r="B557">
        <v>0.65015299999999998</v>
      </c>
    </row>
    <row r="558" spans="1:2" hidden="1" x14ac:dyDescent="0.35">
      <c r="A558" s="4">
        <v>43586</v>
      </c>
      <c r="B558">
        <v>0.68167800000000001</v>
      </c>
    </row>
    <row r="559" spans="1:2" hidden="1" x14ac:dyDescent="0.35">
      <c r="A559" s="4">
        <v>43617</v>
      </c>
      <c r="B559">
        <v>0.64899399999999996</v>
      </c>
    </row>
    <row r="560" spans="1:2" hidden="1" x14ac:dyDescent="0.35">
      <c r="A560" s="4">
        <v>43647</v>
      </c>
      <c r="B560">
        <v>0.65395000000000003</v>
      </c>
    </row>
    <row r="561" spans="1:2" hidden="1" x14ac:dyDescent="0.35">
      <c r="A561" s="4">
        <v>43678</v>
      </c>
      <c r="B561">
        <v>0.63448199999999999</v>
      </c>
    </row>
    <row r="562" spans="1:2" hidden="1" x14ac:dyDescent="0.35">
      <c r="A562" s="4">
        <v>43709</v>
      </c>
      <c r="B562">
        <v>0.60179199999999999</v>
      </c>
    </row>
    <row r="563" spans="1:2" hidden="1" x14ac:dyDescent="0.35">
      <c r="A563" s="4">
        <v>43739</v>
      </c>
      <c r="B563">
        <v>0.62522</v>
      </c>
    </row>
    <row r="564" spans="1:2" hidden="1" x14ac:dyDescent="0.35">
      <c r="A564" s="4">
        <v>43770</v>
      </c>
      <c r="B564">
        <v>0.60884899999999997</v>
      </c>
    </row>
    <row r="565" spans="1:2" hidden="1" x14ac:dyDescent="0.35">
      <c r="A565" s="4">
        <v>43800</v>
      </c>
      <c r="B565">
        <v>0.63380999999999998</v>
      </c>
    </row>
    <row r="566" spans="1:2" hidden="1" x14ac:dyDescent="0.35">
      <c r="A566" s="4">
        <v>43831</v>
      </c>
      <c r="B566">
        <v>0.62610200000000005</v>
      </c>
    </row>
    <row r="567" spans="1:2" hidden="1" x14ac:dyDescent="0.35">
      <c r="A567" s="4">
        <v>43862</v>
      </c>
      <c r="B567">
        <v>0.61426199999999997</v>
      </c>
    </row>
    <row r="568" spans="1:2" hidden="1" x14ac:dyDescent="0.35">
      <c r="A568" s="4">
        <v>43891</v>
      </c>
      <c r="B568">
        <v>0.61018600000000001</v>
      </c>
    </row>
    <row r="569" spans="1:2" hidden="1" x14ac:dyDescent="0.35">
      <c r="A569" s="4">
        <v>43922</v>
      </c>
      <c r="B569">
        <v>0.55283700000000002</v>
      </c>
    </row>
    <row r="570" spans="1:2" hidden="1" x14ac:dyDescent="0.35">
      <c r="A570" s="4">
        <v>43952</v>
      </c>
      <c r="B570">
        <v>0.61895199999999995</v>
      </c>
    </row>
    <row r="571" spans="1:2" hidden="1" x14ac:dyDescent="0.35">
      <c r="A571" s="4">
        <v>43983</v>
      </c>
      <c r="B571">
        <v>0.63608799999999999</v>
      </c>
    </row>
    <row r="572" spans="1:2" hidden="1" x14ac:dyDescent="0.35">
      <c r="A572" s="4">
        <v>44013</v>
      </c>
      <c r="B572">
        <v>0.62353700000000001</v>
      </c>
    </row>
    <row r="573" spans="1:2" hidden="1" x14ac:dyDescent="0.35">
      <c r="A573" s="4">
        <v>44044</v>
      </c>
      <c r="B573">
        <v>0.60689199999999999</v>
      </c>
    </row>
    <row r="574" spans="1:2" hidden="1" x14ac:dyDescent="0.35">
      <c r="A574" s="4">
        <v>44075</v>
      </c>
      <c r="B574">
        <v>0.57289800000000002</v>
      </c>
    </row>
    <row r="575" spans="1:2" hidden="1" x14ac:dyDescent="0.35">
      <c r="A575" s="4">
        <v>44105</v>
      </c>
      <c r="B575">
        <v>0.59189700000000001</v>
      </c>
    </row>
    <row r="576" spans="1:2" hidden="1" x14ac:dyDescent="0.35">
      <c r="A576" s="4">
        <v>44136</v>
      </c>
      <c r="B576">
        <v>0.61158999999999997</v>
      </c>
    </row>
    <row r="577" spans="1:2" hidden="1" x14ac:dyDescent="0.35">
      <c r="A577" s="4">
        <v>44166</v>
      </c>
      <c r="B577">
        <v>0.62446299999999999</v>
      </c>
    </row>
    <row r="578" spans="1:2" hidden="1" x14ac:dyDescent="0.35">
      <c r="A578" s="4">
        <v>44197</v>
      </c>
      <c r="B578">
        <v>0.60718399999999995</v>
      </c>
    </row>
    <row r="579" spans="1:2" hidden="1" x14ac:dyDescent="0.35">
      <c r="A579" s="4">
        <v>44228</v>
      </c>
      <c r="B579">
        <v>0.54667100000000002</v>
      </c>
    </row>
    <row r="580" spans="1:2" hidden="1" x14ac:dyDescent="0.35">
      <c r="A580" s="4">
        <v>44256</v>
      </c>
      <c r="B580">
        <v>0.66661800000000004</v>
      </c>
    </row>
    <row r="581" spans="1:2" hidden="1" x14ac:dyDescent="0.35">
      <c r="A581" s="4">
        <v>44287</v>
      </c>
      <c r="B581">
        <v>0.64163899999999996</v>
      </c>
    </row>
    <row r="582" spans="1:2" hidden="1" x14ac:dyDescent="0.35">
      <c r="A582" s="4">
        <v>44317</v>
      </c>
      <c r="B582">
        <v>0.68187299999999995</v>
      </c>
    </row>
    <row r="583" spans="1:2" hidden="1" x14ac:dyDescent="0.35">
      <c r="A583" s="4">
        <v>44348</v>
      </c>
      <c r="B583">
        <v>0.64483900000000005</v>
      </c>
    </row>
    <row r="584" spans="1:2" hidden="1" x14ac:dyDescent="0.35">
      <c r="A584" s="4">
        <v>44378</v>
      </c>
      <c r="B584">
        <v>0.63866699999999998</v>
      </c>
    </row>
    <row r="585" spans="1:2" hidden="1" x14ac:dyDescent="0.35">
      <c r="A585" s="4">
        <v>44409</v>
      </c>
      <c r="B585">
        <v>0.64267300000000005</v>
      </c>
    </row>
    <row r="586" spans="1:2" hidden="1" x14ac:dyDescent="0.35">
      <c r="A586" s="4">
        <v>44440</v>
      </c>
      <c r="B586">
        <v>0.61061299999999996</v>
      </c>
    </row>
    <row r="587" spans="1:2" hidden="1" x14ac:dyDescent="0.35">
      <c r="A587" s="4">
        <v>44470</v>
      </c>
      <c r="B587">
        <v>0.64131499999999997</v>
      </c>
    </row>
    <row r="588" spans="1:2" hidden="1" x14ac:dyDescent="0.35">
      <c r="A588" s="4">
        <v>44501</v>
      </c>
      <c r="B588">
        <v>0.64336499999999996</v>
      </c>
    </row>
    <row r="589" spans="1:2" hidden="1" x14ac:dyDescent="0.35">
      <c r="A589" s="4">
        <v>44531</v>
      </c>
      <c r="B589">
        <v>0.67984500000000003</v>
      </c>
    </row>
    <row r="590" spans="1:2" hidden="1" x14ac:dyDescent="0.35">
      <c r="A590" s="4">
        <v>44562</v>
      </c>
      <c r="B590">
        <v>0.67661800000000005</v>
      </c>
    </row>
    <row r="591" spans="1:2" hidden="1" x14ac:dyDescent="0.35">
      <c r="A591" s="4">
        <v>44593</v>
      </c>
      <c r="B591">
        <v>0.63717299999999999</v>
      </c>
    </row>
    <row r="592" spans="1:2" hidden="1" x14ac:dyDescent="0.35">
      <c r="A592" s="4">
        <v>44621</v>
      </c>
      <c r="B592">
        <v>0.72550899999999996</v>
      </c>
    </row>
    <row r="593" spans="1:2" hidden="1" x14ac:dyDescent="0.35">
      <c r="A593" s="4">
        <v>44652</v>
      </c>
      <c r="B593">
        <v>0.70998399999999995</v>
      </c>
    </row>
    <row r="594" spans="1:2" hidden="1" x14ac:dyDescent="0.35">
      <c r="A594" s="4">
        <v>44682</v>
      </c>
      <c r="B594">
        <v>0.73532200000000003</v>
      </c>
    </row>
    <row r="595" spans="1:2" hidden="1" x14ac:dyDescent="0.35">
      <c r="A595" s="4">
        <v>44713</v>
      </c>
      <c r="B595">
        <v>0.72029600000000005</v>
      </c>
    </row>
    <row r="596" spans="1:2" hidden="1" x14ac:dyDescent="0.35">
      <c r="A596" s="4">
        <v>44743</v>
      </c>
      <c r="B596">
        <v>0.70219600000000004</v>
      </c>
    </row>
    <row r="597" spans="1:2" hidden="1" x14ac:dyDescent="0.35">
      <c r="A597" s="4">
        <v>44774</v>
      </c>
      <c r="B597">
        <v>0.67490499999999998</v>
      </c>
    </row>
    <row r="598" spans="1:2" hidden="1" x14ac:dyDescent="0.35">
      <c r="A598" s="4">
        <v>44805</v>
      </c>
      <c r="B598">
        <v>0.62806399999999996</v>
      </c>
    </row>
    <row r="599" spans="1:2" hidden="1" x14ac:dyDescent="0.35">
      <c r="A599" s="4">
        <v>44835</v>
      </c>
      <c r="B599">
        <v>0.65695300000000001</v>
      </c>
    </row>
    <row r="600" spans="1:2" hidden="1" x14ac:dyDescent="0.35">
      <c r="A600" s="4">
        <v>44866</v>
      </c>
      <c r="B600">
        <v>0.67513999999999996</v>
      </c>
    </row>
    <row r="601" spans="1:2" hidden="1" x14ac:dyDescent="0.35">
      <c r="A601" s="4">
        <v>44896</v>
      </c>
      <c r="B601">
        <v>0.67156499999999997</v>
      </c>
    </row>
    <row r="602" spans="1:2" hidden="1" x14ac:dyDescent="0.35">
      <c r="A602" s="4">
        <v>44927</v>
      </c>
      <c r="B602">
        <v>0.68027800000000005</v>
      </c>
    </row>
    <row r="603" spans="1:2" hidden="1" x14ac:dyDescent="0.35">
      <c r="A603" s="4">
        <v>44958</v>
      </c>
      <c r="B603">
        <v>0.64568000000000003</v>
      </c>
    </row>
    <row r="604" spans="1:2" hidden="1" x14ac:dyDescent="0.35">
      <c r="A604" s="4">
        <v>44986</v>
      </c>
      <c r="B604">
        <v>0.72293700000000005</v>
      </c>
    </row>
    <row r="605" spans="1:2" hidden="1" x14ac:dyDescent="0.35">
      <c r="A605" s="4">
        <v>45017</v>
      </c>
      <c r="B605">
        <v>0.69847199999999998</v>
      </c>
    </row>
    <row r="606" spans="1:2" hidden="1" x14ac:dyDescent="0.35">
      <c r="A606" s="4">
        <v>45047</v>
      </c>
      <c r="B606">
        <v>0.739232</v>
      </c>
    </row>
    <row r="607" spans="1:2" hidden="1" x14ac:dyDescent="0.35">
      <c r="A607" s="4">
        <v>45078</v>
      </c>
      <c r="B607">
        <v>0.69084299999999998</v>
      </c>
    </row>
    <row r="608" spans="1:2" hidden="1" x14ac:dyDescent="0.35">
      <c r="A608" s="4">
        <v>45108</v>
      </c>
      <c r="B608">
        <v>0.70069499999999996</v>
      </c>
    </row>
    <row r="609" spans="1:2" hidden="1" x14ac:dyDescent="0.35">
      <c r="A609" s="4">
        <v>45139</v>
      </c>
      <c r="B609">
        <v>0.70766300000000004</v>
      </c>
    </row>
    <row r="610" spans="1:2" hidden="1" x14ac:dyDescent="0.35">
      <c r="A610" s="4">
        <v>45170</v>
      </c>
      <c r="B610">
        <v>0.65865200000000002</v>
      </c>
    </row>
    <row r="611" spans="1:2" hidden="1" x14ac:dyDescent="0.35">
      <c r="A611" s="4">
        <v>45200</v>
      </c>
      <c r="B611">
        <v>0.68771700000000002</v>
      </c>
    </row>
    <row r="612" spans="1:2" hidden="1" x14ac:dyDescent="0.35">
      <c r="A612" s="4">
        <v>45231</v>
      </c>
      <c r="B612">
        <v>0.66509600000000002</v>
      </c>
    </row>
    <row r="613" spans="1:2" hidden="1" x14ac:dyDescent="0.35">
      <c r="A613" s="4">
        <v>45261</v>
      </c>
      <c r="B613">
        <v>0.69534200000000002</v>
      </c>
    </row>
    <row r="614" spans="1:2" hidden="1" x14ac:dyDescent="0.35">
      <c r="A614" s="4">
        <v>45292</v>
      </c>
      <c r="B614">
        <v>0.66715199999999997</v>
      </c>
    </row>
    <row r="615" spans="1:2" hidden="1" x14ac:dyDescent="0.35">
      <c r="A615" s="4">
        <v>45323</v>
      </c>
      <c r="B615">
        <v>0.69601800000000003</v>
      </c>
    </row>
    <row r="616" spans="1:2" hidden="1" x14ac:dyDescent="0.35">
      <c r="A616" s="4">
        <v>45352</v>
      </c>
      <c r="B616">
        <v>0.75542299999999996</v>
      </c>
    </row>
    <row r="617" spans="1:2" hidden="1" x14ac:dyDescent="0.35">
      <c r="A617" s="4">
        <v>45383</v>
      </c>
      <c r="B617">
        <v>0.74894400000000005</v>
      </c>
    </row>
    <row r="618" spans="1:2" hidden="1" x14ac:dyDescent="0.35">
      <c r="A618" s="4">
        <v>45413</v>
      </c>
      <c r="B618">
        <v>0.77346099999999995</v>
      </c>
    </row>
    <row r="619" spans="1:2" hidden="1" x14ac:dyDescent="0.35">
      <c r="A619" s="4">
        <v>45444</v>
      </c>
      <c r="B619">
        <v>0.76015500000000003</v>
      </c>
    </row>
    <row r="620" spans="1:2" hidden="1" x14ac:dyDescent="0.35">
      <c r="A620" s="4">
        <v>45474</v>
      </c>
      <c r="B620">
        <v>0.74587899999999996</v>
      </c>
    </row>
    <row r="621" spans="1:2" hidden="1" x14ac:dyDescent="0.35">
      <c r="A621" s="4">
        <v>45505</v>
      </c>
      <c r="B621">
        <v>0.73561500000000002</v>
      </c>
    </row>
    <row r="622" spans="1:2" hidden="1" x14ac:dyDescent="0.35">
      <c r="A622" s="4">
        <v>45536</v>
      </c>
      <c r="B622">
        <v>0.68376099999999995</v>
      </c>
    </row>
    <row r="623" spans="1:2" hidden="1" x14ac:dyDescent="0.35">
      <c r="A623" s="4">
        <v>45566</v>
      </c>
      <c r="B623">
        <v>0.72187100000000004</v>
      </c>
    </row>
    <row r="624" spans="1:2" hidden="1" x14ac:dyDescent="0.35">
      <c r="A624" s="4">
        <v>45597</v>
      </c>
      <c r="B624">
        <v>0.699376</v>
      </c>
    </row>
    <row r="625" spans="1:5" hidden="1" x14ac:dyDescent="0.35">
      <c r="A625" s="4">
        <v>45627</v>
      </c>
      <c r="B625">
        <v>0.71159399999999995</v>
      </c>
    </row>
    <row r="626" spans="1:5" hidden="1" x14ac:dyDescent="0.35">
      <c r="A626" s="4">
        <v>45658</v>
      </c>
      <c r="B626">
        <v>0.71232799999999996</v>
      </c>
    </row>
    <row r="627" spans="1:5" hidden="1" x14ac:dyDescent="0.35">
      <c r="A627" s="4">
        <v>45689</v>
      </c>
      <c r="B627">
        <v>0.66611900000000002</v>
      </c>
    </row>
    <row r="628" spans="1:5" hidden="1" x14ac:dyDescent="0.35">
      <c r="A628" s="4">
        <v>45717</v>
      </c>
      <c r="B628">
        <v>0.780358</v>
      </c>
    </row>
    <row r="629" spans="1:5" hidden="1" x14ac:dyDescent="0.35">
      <c r="A629" s="4">
        <v>45748</v>
      </c>
      <c r="B629">
        <v>0.76371</v>
      </c>
    </row>
    <row r="630" spans="1:5" hidden="1" x14ac:dyDescent="0.35">
      <c r="A630" s="4">
        <v>45778</v>
      </c>
      <c r="B630">
        <v>0.75854900000000003</v>
      </c>
    </row>
    <row r="631" spans="1:5" hidden="1" x14ac:dyDescent="0.35">
      <c r="A631" s="4">
        <v>45809</v>
      </c>
      <c r="B631">
        <v>0.75191200000000002</v>
      </c>
    </row>
    <row r="632" spans="1:5" hidden="1" x14ac:dyDescent="0.35">
      <c r="A632" s="4">
        <v>45839</v>
      </c>
      <c r="B632">
        <v>0.75630699999999995</v>
      </c>
    </row>
    <row r="633" spans="1:5" hidden="1" x14ac:dyDescent="0.35">
      <c r="A633" s="4">
        <v>45870</v>
      </c>
      <c r="B633">
        <v>0.730931</v>
      </c>
    </row>
    <row r="634" spans="1:5" hidden="1" x14ac:dyDescent="0.35">
      <c r="A634" s="4">
        <v>45901</v>
      </c>
      <c r="B634">
        <v>0.67821600000000004</v>
      </c>
    </row>
    <row r="635" spans="1:5" hidden="1" x14ac:dyDescent="0.35">
      <c r="A635" s="4">
        <v>45931</v>
      </c>
      <c r="B635">
        <v>0.73126199999999997</v>
      </c>
    </row>
    <row r="636" spans="1:5" hidden="1" x14ac:dyDescent="0.35">
      <c r="A636" s="4">
        <v>45962</v>
      </c>
      <c r="B636">
        <v>0.69916</v>
      </c>
    </row>
    <row r="637" spans="1:5" x14ac:dyDescent="0.35">
      <c r="A637" s="4">
        <v>45992</v>
      </c>
      <c r="B637">
        <v>0.74988100000000002</v>
      </c>
      <c r="C637">
        <v>0.74988100000000002</v>
      </c>
      <c r="D637" s="6">
        <v>0.74988100000000002</v>
      </c>
      <c r="E637" s="6">
        <v>0.74988100000000002</v>
      </c>
    </row>
    <row r="638" spans="1:5" hidden="1" x14ac:dyDescent="0.35">
      <c r="A638" s="4">
        <v>46023</v>
      </c>
      <c r="C638">
        <f t="shared" ref="C638:C669" si="0">_xlfn.FORECAST.ETS(A638,$B$2:$B$637,$A$2:$A$637,1,1)</f>
        <v>0.73751575942949354</v>
      </c>
      <c r="D638" s="6">
        <f t="shared" ref="D638:D669" si="1">C638-_xlfn.FORECAST.ETS.CONFINT(A638,$B$2:$B$637,$A$2:$A$637,0.95,1,1)</f>
        <v>0.69099752452937002</v>
      </c>
      <c r="E638" s="6">
        <f t="shared" ref="E638:E669" si="2">C638+_xlfn.FORECAST.ETS.CONFINT(A638,$B$2:$B$637,$A$2:$A$637,0.95,1,1)</f>
        <v>0.78403399432961707</v>
      </c>
    </row>
    <row r="639" spans="1:5" hidden="1" x14ac:dyDescent="0.35">
      <c r="A639" s="4">
        <v>46054</v>
      </c>
      <c r="C639">
        <f t="shared" si="0"/>
        <v>0.73880641796824753</v>
      </c>
      <c r="D639" s="6">
        <f t="shared" si="1"/>
        <v>0.69191453736902608</v>
      </c>
      <c r="E639" s="6">
        <f t="shared" si="2"/>
        <v>0.78569829856746898</v>
      </c>
    </row>
    <row r="640" spans="1:5" hidden="1" x14ac:dyDescent="0.35">
      <c r="A640" s="4">
        <v>46082</v>
      </c>
      <c r="C640">
        <f t="shared" si="0"/>
        <v>0.74009707650700252</v>
      </c>
      <c r="D640" s="6">
        <f t="shared" si="1"/>
        <v>0.69282866675677246</v>
      </c>
      <c r="E640" s="6">
        <f t="shared" si="2"/>
        <v>0.78736548625723257</v>
      </c>
    </row>
    <row r="641" spans="1:5" hidden="1" x14ac:dyDescent="0.35">
      <c r="A641" s="4">
        <v>46113</v>
      </c>
      <c r="C641">
        <f t="shared" si="0"/>
        <v>0.74138773504575661</v>
      </c>
      <c r="D641" s="6">
        <f t="shared" si="1"/>
        <v>0.69373993563521241</v>
      </c>
      <c r="E641" s="6">
        <f t="shared" si="2"/>
        <v>0.78903553445630081</v>
      </c>
    </row>
    <row r="642" spans="1:5" hidden="1" x14ac:dyDescent="0.35">
      <c r="A642" s="4">
        <v>46143</v>
      </c>
      <c r="C642">
        <f t="shared" si="0"/>
        <v>0.74267839358451149</v>
      </c>
      <c r="D642" s="6">
        <f t="shared" si="1"/>
        <v>0.6946483667358887</v>
      </c>
      <c r="E642" s="6">
        <f t="shared" si="2"/>
        <v>0.79070842043313427</v>
      </c>
    </row>
    <row r="643" spans="1:5" hidden="1" x14ac:dyDescent="0.35">
      <c r="A643" s="4">
        <v>46174</v>
      </c>
      <c r="C643">
        <f t="shared" si="0"/>
        <v>0.74396905212326558</v>
      </c>
      <c r="D643" s="6">
        <f t="shared" si="1"/>
        <v>0.69555398257416845</v>
      </c>
      <c r="E643" s="6">
        <f t="shared" si="2"/>
        <v>0.79238412167236272</v>
      </c>
    </row>
    <row r="644" spans="1:5" hidden="1" x14ac:dyDescent="0.35">
      <c r="A644" s="4">
        <v>46204</v>
      </c>
      <c r="C644">
        <f t="shared" si="0"/>
        <v>0.74525971066202057</v>
      </c>
      <c r="D644" s="6">
        <f t="shared" si="1"/>
        <v>0.69645680544467448</v>
      </c>
      <c r="E644" s="6">
        <f t="shared" si="2"/>
        <v>0.79406261587936666</v>
      </c>
    </row>
    <row r="645" spans="1:5" hidden="1" x14ac:dyDescent="0.35">
      <c r="A645" s="4">
        <v>46235</v>
      </c>
      <c r="C645">
        <f t="shared" si="0"/>
        <v>0.74655036920077456</v>
      </c>
      <c r="D645" s="6">
        <f t="shared" si="1"/>
        <v>0.69735685741720843</v>
      </c>
      <c r="E645" s="6">
        <f t="shared" si="2"/>
        <v>0.79574388098434068</v>
      </c>
    </row>
    <row r="646" spans="1:5" hidden="1" x14ac:dyDescent="0.35">
      <c r="A646" s="4">
        <v>46266</v>
      </c>
      <c r="C646">
        <f t="shared" si="0"/>
        <v>0.74784102773952954</v>
      </c>
      <c r="D646" s="6">
        <f t="shared" si="1"/>
        <v>0.69825416033316856</v>
      </c>
      <c r="E646" s="6">
        <f t="shared" si="2"/>
        <v>0.79742789514589052</v>
      </c>
    </row>
    <row r="647" spans="1:5" hidden="1" x14ac:dyDescent="0.35">
      <c r="A647" s="4">
        <v>46296</v>
      </c>
      <c r="C647">
        <f t="shared" si="0"/>
        <v>0.74913168627828364</v>
      </c>
      <c r="D647" s="6">
        <f t="shared" si="1"/>
        <v>0.69914873580240489</v>
      </c>
      <c r="E647" s="6">
        <f t="shared" si="2"/>
        <v>0.79911463675416239</v>
      </c>
    </row>
    <row r="648" spans="1:5" hidden="1" x14ac:dyDescent="0.35">
      <c r="A648" s="4">
        <v>46327</v>
      </c>
      <c r="C648">
        <f t="shared" si="0"/>
        <v>0.75042234481703851</v>
      </c>
      <c r="D648" s="6">
        <f t="shared" si="1"/>
        <v>0.70004060520052114</v>
      </c>
      <c r="E648" s="6">
        <f t="shared" si="2"/>
        <v>0.80080408443355588</v>
      </c>
    </row>
    <row r="649" spans="1:5" hidden="1" x14ac:dyDescent="0.35">
      <c r="A649" s="4">
        <v>46357</v>
      </c>
      <c r="C649">
        <f t="shared" si="0"/>
        <v>0.75171300335579261</v>
      </c>
      <c r="D649" s="6">
        <f t="shared" si="1"/>
        <v>0.70092978966656627</v>
      </c>
      <c r="E649" s="6">
        <f t="shared" si="2"/>
        <v>0.80249621704501894</v>
      </c>
    </row>
    <row r="650" spans="1:5" hidden="1" x14ac:dyDescent="0.35">
      <c r="A650" s="4">
        <v>46388</v>
      </c>
      <c r="C650">
        <f t="shared" si="0"/>
        <v>0.75300366189454759</v>
      </c>
      <c r="D650" s="6">
        <f t="shared" si="1"/>
        <v>0.701816310101124</v>
      </c>
      <c r="E650" s="6">
        <f t="shared" si="2"/>
        <v>0.80419101368797119</v>
      </c>
    </row>
    <row r="651" spans="1:5" hidden="1" x14ac:dyDescent="0.35">
      <c r="A651" s="4">
        <v>46419</v>
      </c>
      <c r="C651">
        <f t="shared" si="0"/>
        <v>0.75429432043330169</v>
      </c>
      <c r="D651" s="6">
        <f t="shared" si="1"/>
        <v>0.70270018716474913</v>
      </c>
      <c r="E651" s="6">
        <f t="shared" si="2"/>
        <v>0.80588845370185425</v>
      </c>
    </row>
    <row r="652" spans="1:5" hidden="1" x14ac:dyDescent="0.35">
      <c r="A652" s="4">
        <v>46447</v>
      </c>
      <c r="C652">
        <f t="shared" si="0"/>
        <v>0.75558497897205656</v>
      </c>
      <c r="D652" s="6">
        <f t="shared" si="1"/>
        <v>0.70358144127675804</v>
      </c>
      <c r="E652" s="6">
        <f t="shared" si="2"/>
        <v>0.80758851666735509</v>
      </c>
    </row>
    <row r="653" spans="1:5" hidden="1" x14ac:dyDescent="0.35">
      <c r="A653" s="4">
        <v>46478</v>
      </c>
      <c r="C653">
        <f t="shared" si="0"/>
        <v>0.75687563751081066</v>
      </c>
      <c r="D653" s="6">
        <f t="shared" si="1"/>
        <v>0.7044600926143243</v>
      </c>
      <c r="E653" s="6">
        <f t="shared" si="2"/>
        <v>0.80929118240729703</v>
      </c>
    </row>
    <row r="654" spans="1:5" hidden="1" x14ac:dyDescent="0.35">
      <c r="A654" s="4">
        <v>46508</v>
      </c>
      <c r="C654">
        <f t="shared" si="0"/>
        <v>0.75816629604956565</v>
      </c>
      <c r="D654" s="6">
        <f t="shared" si="1"/>
        <v>0.70533616111188757</v>
      </c>
      <c r="E654" s="6">
        <f t="shared" si="2"/>
        <v>0.81099643098724372</v>
      </c>
    </row>
    <row r="655" spans="1:5" hidden="1" x14ac:dyDescent="0.35">
      <c r="A655" s="4">
        <v>46539</v>
      </c>
      <c r="C655">
        <f t="shared" si="0"/>
        <v>0.75945695458831963</v>
      </c>
      <c r="D655" s="6">
        <f t="shared" si="1"/>
        <v>0.70620966646083139</v>
      </c>
      <c r="E655" s="6">
        <f t="shared" si="2"/>
        <v>0.81270424271580788</v>
      </c>
    </row>
    <row r="656" spans="1:5" hidden="1" x14ac:dyDescent="0.35">
      <c r="A656" s="4">
        <v>46569</v>
      </c>
      <c r="C656">
        <f t="shared" si="0"/>
        <v>0.76074761312707462</v>
      </c>
      <c r="D656" s="6">
        <f t="shared" si="1"/>
        <v>0.7070806281094365</v>
      </c>
      <c r="E656" s="6">
        <f t="shared" si="2"/>
        <v>0.81441459814471273</v>
      </c>
    </row>
    <row r="657" spans="1:5" hidden="1" x14ac:dyDescent="0.35">
      <c r="A657" s="4">
        <v>46600</v>
      </c>
      <c r="C657">
        <f t="shared" si="0"/>
        <v>0.76203827166582871</v>
      </c>
      <c r="D657" s="6">
        <f t="shared" si="1"/>
        <v>0.70794906526306722</v>
      </c>
      <c r="E657" s="6">
        <f t="shared" si="2"/>
        <v>0.81612747806859021</v>
      </c>
    </row>
    <row r="658" spans="1:5" hidden="1" x14ac:dyDescent="0.35">
      <c r="A658" s="4">
        <v>46631</v>
      </c>
      <c r="C658">
        <f t="shared" si="0"/>
        <v>0.76332893020458359</v>
      </c>
      <c r="D658" s="6">
        <f t="shared" si="1"/>
        <v>0.70881499688460081</v>
      </c>
      <c r="E658" s="6">
        <f t="shared" si="2"/>
        <v>0.81784286352456637</v>
      </c>
    </row>
    <row r="659" spans="1:5" hidden="1" x14ac:dyDescent="0.35">
      <c r="A659" s="4">
        <v>46661</v>
      </c>
      <c r="C659">
        <f t="shared" si="0"/>
        <v>0.76461958874333769</v>
      </c>
      <c r="D659" s="6">
        <f t="shared" si="1"/>
        <v>0.70967844169505745</v>
      </c>
      <c r="E659" s="6">
        <f t="shared" si="2"/>
        <v>0.81956073579161792</v>
      </c>
    </row>
    <row r="660" spans="1:5" hidden="1" x14ac:dyDescent="0.35">
      <c r="A660" s="4">
        <v>46692</v>
      </c>
      <c r="C660">
        <f t="shared" si="0"/>
        <v>0.76591024728209267</v>
      </c>
      <c r="D660" s="6">
        <f t="shared" si="1"/>
        <v>0.71053941817444288</v>
      </c>
      <c r="E660" s="6">
        <f t="shared" si="2"/>
        <v>0.82128107638974246</v>
      </c>
    </row>
    <row r="661" spans="1:5" hidden="1" x14ac:dyDescent="0.35">
      <c r="A661" s="4">
        <v>46722</v>
      </c>
      <c r="C661">
        <f t="shared" si="0"/>
        <v>0.76720090582084666</v>
      </c>
      <c r="D661" s="6">
        <f t="shared" si="1"/>
        <v>0.71139794456276206</v>
      </c>
      <c r="E661" s="6">
        <f t="shared" si="2"/>
        <v>0.82300386707893125</v>
      </c>
    </row>
    <row r="662" spans="1:5" hidden="1" x14ac:dyDescent="0.35">
      <c r="A662" s="4">
        <v>46753</v>
      </c>
      <c r="C662">
        <f t="shared" si="0"/>
        <v>0.76849156435960164</v>
      </c>
      <c r="D662" s="6">
        <f t="shared" si="1"/>
        <v>0.71225403886121841</v>
      </c>
      <c r="E662" s="6">
        <f t="shared" si="2"/>
        <v>0.82472908985798488</v>
      </c>
    </row>
    <row r="663" spans="1:5" hidden="1" x14ac:dyDescent="0.35">
      <c r="A663" s="4">
        <v>46784</v>
      </c>
      <c r="C663">
        <f t="shared" si="0"/>
        <v>0.76978222289835574</v>
      </c>
      <c r="D663" s="6">
        <f t="shared" si="1"/>
        <v>0.71310771883355628</v>
      </c>
      <c r="E663" s="6">
        <f t="shared" si="2"/>
        <v>0.8264567269631552</v>
      </c>
    </row>
    <row r="664" spans="1:5" hidden="1" x14ac:dyDescent="0.35">
      <c r="A664" s="4">
        <v>46813</v>
      </c>
      <c r="C664">
        <f t="shared" si="0"/>
        <v>0.77107288143711061</v>
      </c>
      <c r="D664" s="6">
        <f t="shared" si="1"/>
        <v>0.71395900200756535</v>
      </c>
      <c r="E664" s="6">
        <f t="shared" si="2"/>
        <v>0.82818676086665588</v>
      </c>
    </row>
    <row r="665" spans="1:5" hidden="1" x14ac:dyDescent="0.35">
      <c r="A665" s="4">
        <v>46844</v>
      </c>
      <c r="C665">
        <f t="shared" si="0"/>
        <v>0.77236353997586471</v>
      </c>
      <c r="D665" s="6">
        <f t="shared" si="1"/>
        <v>0.7148079056767046</v>
      </c>
      <c r="E665" s="6">
        <f t="shared" si="2"/>
        <v>0.82991917427502482</v>
      </c>
    </row>
    <row r="666" spans="1:5" hidden="1" x14ac:dyDescent="0.35">
      <c r="A666" s="4">
        <v>46874</v>
      </c>
      <c r="C666">
        <f t="shared" si="0"/>
        <v>0.7736541985146197</v>
      </c>
      <c r="D666" s="6">
        <f t="shared" si="1"/>
        <v>0.71565444690186364</v>
      </c>
      <c r="E666" s="6">
        <f t="shared" si="2"/>
        <v>0.83165395012737575</v>
      </c>
    </row>
    <row r="667" spans="1:5" hidden="1" x14ac:dyDescent="0.35">
      <c r="A667" s="4">
        <v>46905</v>
      </c>
      <c r="C667">
        <f t="shared" si="0"/>
        <v>0.77494485705337368</v>
      </c>
      <c r="D667" s="6">
        <f t="shared" si="1"/>
        <v>0.71649864251322404</v>
      </c>
      <c r="E667" s="6">
        <f t="shared" si="2"/>
        <v>0.83339107159352332</v>
      </c>
    </row>
    <row r="668" spans="1:5" hidden="1" x14ac:dyDescent="0.35">
      <c r="A668" s="4">
        <v>46935</v>
      </c>
      <c r="C668">
        <f t="shared" si="0"/>
        <v>0.77623551559212867</v>
      </c>
      <c r="D668" s="6">
        <f t="shared" si="1"/>
        <v>0.71734050911223735</v>
      </c>
      <c r="E668" s="6">
        <f t="shared" si="2"/>
        <v>0.83513052207201999</v>
      </c>
    </row>
    <row r="669" spans="1:5" hidden="1" x14ac:dyDescent="0.35">
      <c r="A669" s="4">
        <v>46966</v>
      </c>
      <c r="C669">
        <f t="shared" si="0"/>
        <v>0.77752617413088276</v>
      </c>
      <c r="D669" s="6">
        <f t="shared" si="1"/>
        <v>0.71818006307368321</v>
      </c>
      <c r="E669" s="6">
        <f t="shared" si="2"/>
        <v>0.83687228518808232</v>
      </c>
    </row>
    <row r="670" spans="1:5" hidden="1" x14ac:dyDescent="0.35">
      <c r="A670" s="4">
        <v>46997</v>
      </c>
      <c r="C670">
        <f t="shared" ref="C670:C701" si="3">_xlfn.FORECAST.ETS(A670,$B$2:$B$637,$A$2:$A$637,1,1)</f>
        <v>0.77881683266963764</v>
      </c>
      <c r="D670" s="6">
        <f t="shared" ref="D670:D701" si="4">C670-_xlfn.FORECAST.ETS.CONFINT(A670,$B$2:$B$637,$A$2:$A$637,0.95,1,1)</f>
        <v>0.71901732054782663</v>
      </c>
      <c r="E670" s="6">
        <f t="shared" ref="E670:E701" si="5">C670+_xlfn.FORECAST.ETS.CONFINT(A670,$B$2:$B$637,$A$2:$A$637,0.95,1,1)</f>
        <v>0.83861634479144864</v>
      </c>
    </row>
    <row r="671" spans="1:5" hidden="1" x14ac:dyDescent="0.35">
      <c r="A671" s="4">
        <v>47027</v>
      </c>
      <c r="C671">
        <f t="shared" si="3"/>
        <v>0.78010749120839173</v>
      </c>
      <c r="D671" s="6">
        <f t="shared" si="4"/>
        <v>0.71985229746263835</v>
      </c>
      <c r="E671" s="6">
        <f t="shared" si="5"/>
        <v>0.84036268495414512</v>
      </c>
    </row>
    <row r="672" spans="1:5" hidden="1" x14ac:dyDescent="0.35">
      <c r="A672" s="4">
        <v>47058</v>
      </c>
      <c r="C672">
        <f t="shared" si="3"/>
        <v>0.78139814974714672</v>
      </c>
      <c r="D672" s="6">
        <f t="shared" si="4"/>
        <v>0.72068500952609738</v>
      </c>
      <c r="E672" s="6">
        <f t="shared" si="5"/>
        <v>0.84211128996819606</v>
      </c>
    </row>
    <row r="673" spans="1:5" hidden="1" x14ac:dyDescent="0.35">
      <c r="A673" s="4">
        <v>47088</v>
      </c>
      <c r="C673">
        <f t="shared" si="3"/>
        <v>0.78268880828590071</v>
      </c>
      <c r="D673" s="6">
        <f t="shared" si="4"/>
        <v>0.72151547222854229</v>
      </c>
      <c r="E673" s="6">
        <f t="shared" si="5"/>
        <v>0.84386214434325912</v>
      </c>
    </row>
    <row r="674" spans="1:5" hidden="1" x14ac:dyDescent="0.35">
      <c r="A674" s="4">
        <v>47119</v>
      </c>
      <c r="C674">
        <f t="shared" si="3"/>
        <v>0.78397946682465569</v>
      </c>
      <c r="D674" s="6">
        <f t="shared" si="4"/>
        <v>0.72234370084508992</v>
      </c>
      <c r="E674" s="6">
        <f t="shared" si="5"/>
        <v>0.84561523280422146</v>
      </c>
    </row>
    <row r="675" spans="1:5" hidden="1" x14ac:dyDescent="0.35">
      <c r="A675" s="4">
        <v>47150</v>
      </c>
      <c r="C675">
        <f t="shared" si="3"/>
        <v>0.78527012536340979</v>
      </c>
      <c r="D675" s="6">
        <f t="shared" si="4"/>
        <v>0.72316971043808898</v>
      </c>
      <c r="E675" s="6">
        <f t="shared" si="5"/>
        <v>0.8473705402887306</v>
      </c>
    </row>
    <row r="676" spans="1:5" hidden="1" x14ac:dyDescent="0.35">
      <c r="A676" s="4">
        <v>47178</v>
      </c>
      <c r="C676">
        <f t="shared" si="3"/>
        <v>0.78656078390216466</v>
      </c>
      <c r="D676" s="6">
        <f t="shared" si="4"/>
        <v>0.72399351585962912</v>
      </c>
      <c r="E676" s="6">
        <f t="shared" si="5"/>
        <v>0.8491280519447002</v>
      </c>
    </row>
    <row r="677" spans="1:5" hidden="1" x14ac:dyDescent="0.35">
      <c r="A677" s="4">
        <v>47209</v>
      </c>
      <c r="C677">
        <f t="shared" si="3"/>
        <v>0.78785144244091876</v>
      </c>
      <c r="D677" s="6">
        <f t="shared" si="4"/>
        <v>0.72481513175407242</v>
      </c>
      <c r="E677" s="6">
        <f t="shared" si="5"/>
        <v>0.8508877531277651</v>
      </c>
    </row>
    <row r="678" spans="1:5" hidden="1" x14ac:dyDescent="0.35">
      <c r="A678" s="4">
        <v>47239</v>
      </c>
      <c r="C678">
        <f t="shared" si="3"/>
        <v>0.78914210097967374</v>
      </c>
      <c r="D678" s="6">
        <f t="shared" si="4"/>
        <v>0.72563457256062935</v>
      </c>
      <c r="E678" s="6">
        <f t="shared" si="5"/>
        <v>0.85264962939871813</v>
      </c>
    </row>
    <row r="679" spans="1:5" hidden="1" x14ac:dyDescent="0.35">
      <c r="A679" s="4">
        <v>47270</v>
      </c>
      <c r="C679">
        <f t="shared" si="3"/>
        <v>0.79043275951842773</v>
      </c>
      <c r="D679" s="6">
        <f t="shared" si="4"/>
        <v>0.72645185251594613</v>
      </c>
      <c r="E679" s="6">
        <f t="shared" si="5"/>
        <v>0.85441366652090933</v>
      </c>
    </row>
    <row r="680" spans="1:5" hidden="1" x14ac:dyDescent="0.35">
      <c r="A680" s="4">
        <v>47300</v>
      </c>
      <c r="C680">
        <f t="shared" si="3"/>
        <v>0.79172341805718272</v>
      </c>
      <c r="D680" s="6">
        <f t="shared" si="4"/>
        <v>0.7272669856567282</v>
      </c>
      <c r="E680" s="6">
        <f t="shared" si="5"/>
        <v>0.85617985045763723</v>
      </c>
    </row>
    <row r="681" spans="1:5" hidden="1" x14ac:dyDescent="0.35">
      <c r="A681" s="4">
        <v>47331</v>
      </c>
      <c r="C681">
        <f t="shared" si="3"/>
        <v>0.79301407659593681</v>
      </c>
      <c r="D681" s="6">
        <f t="shared" si="4"/>
        <v>0.728079985822364</v>
      </c>
      <c r="E681" s="6">
        <f t="shared" si="5"/>
        <v>0.85794816736950963</v>
      </c>
    </row>
    <row r="682" spans="1:5" hidden="1" x14ac:dyDescent="0.35">
      <c r="A682" s="4">
        <v>47362</v>
      </c>
      <c r="C682">
        <f t="shared" si="3"/>
        <v>0.79430473513469169</v>
      </c>
      <c r="D682" s="6">
        <f t="shared" si="4"/>
        <v>0.72889086665757707</v>
      </c>
      <c r="E682" s="6">
        <f t="shared" si="5"/>
        <v>0.8597186036118063</v>
      </c>
    </row>
    <row r="683" spans="1:5" hidden="1" x14ac:dyDescent="0.35">
      <c r="A683" s="4">
        <v>47392</v>
      </c>
      <c r="C683">
        <f t="shared" si="3"/>
        <v>0.79559539367344578</v>
      </c>
      <c r="D683" s="6">
        <f t="shared" si="4"/>
        <v>0.72969964161507206</v>
      </c>
      <c r="E683" s="6">
        <f t="shared" si="5"/>
        <v>0.86149114573181951</v>
      </c>
    </row>
    <row r="684" spans="1:5" hidden="1" x14ac:dyDescent="0.35">
      <c r="A684" s="4">
        <v>47423</v>
      </c>
      <c r="C684">
        <f t="shared" si="3"/>
        <v>0.79688605221220077</v>
      </c>
      <c r="D684" s="6">
        <f t="shared" si="4"/>
        <v>0.73050632395819826</v>
      </c>
      <c r="E684" s="6">
        <f t="shared" si="5"/>
        <v>0.86326578046620328</v>
      </c>
    </row>
    <row r="685" spans="1:5" hidden="1" x14ac:dyDescent="0.35">
      <c r="A685" s="4">
        <v>47453</v>
      </c>
      <c r="C685">
        <f t="shared" si="3"/>
        <v>0.79817671075095475</v>
      </c>
      <c r="D685" s="6">
        <f t="shared" si="4"/>
        <v>0.73131092676360243</v>
      </c>
      <c r="E685" s="6">
        <f t="shared" si="5"/>
        <v>0.86504249473830708</v>
      </c>
    </row>
    <row r="686" spans="1:5" hidden="1" x14ac:dyDescent="0.35">
      <c r="A686" s="4">
        <v>47484</v>
      </c>
      <c r="C686">
        <f>_xlfn.FORECAST.ETS(A686,$B$2:$B$637,$A$2:$A$637,1,1)</f>
        <v>0.79946736928970974</v>
      </c>
      <c r="D686" s="6">
        <f t="shared" si="4"/>
        <v>0.73211346292389357</v>
      </c>
      <c r="E686" s="6">
        <f t="shared" si="5"/>
        <v>0.86682127565552591</v>
      </c>
    </row>
    <row r="687" spans="1:5" hidden="1" x14ac:dyDescent="0.35">
      <c r="A687" s="4">
        <v>47515</v>
      </c>
      <c r="C687">
        <f t="shared" si="3"/>
        <v>0.80075802782846384</v>
      </c>
      <c r="D687" s="6">
        <f t="shared" si="4"/>
        <v>0.73291394515028752</v>
      </c>
      <c r="E687" s="6">
        <f t="shared" si="5"/>
        <v>0.86860211050664016</v>
      </c>
    </row>
    <row r="688" spans="1:5" hidden="1" x14ac:dyDescent="0.35">
      <c r="A688" s="4">
        <v>47543</v>
      </c>
      <c r="C688">
        <f t="shared" si="3"/>
        <v>0.80204868636721882</v>
      </c>
      <c r="D688" s="6">
        <f t="shared" si="4"/>
        <v>0.73371238597526123</v>
      </c>
      <c r="E688" s="6">
        <f t="shared" si="5"/>
        <v>0.87038498675917642</v>
      </c>
    </row>
    <row r="689" spans="1:5" hidden="1" x14ac:dyDescent="0.35">
      <c r="A689" s="4">
        <v>47574</v>
      </c>
      <c r="C689">
        <f t="shared" si="3"/>
        <v>0.80333934490597281</v>
      </c>
      <c r="D689" s="6">
        <f t="shared" si="4"/>
        <v>0.73450879775518074</v>
      </c>
      <c r="E689" s="6">
        <f t="shared" si="5"/>
        <v>0.87216989205676487</v>
      </c>
    </row>
    <row r="690" spans="1:5" hidden="1" x14ac:dyDescent="0.35">
      <c r="A690" s="4">
        <v>47604</v>
      </c>
      <c r="C690">
        <f t="shared" si="3"/>
        <v>0.80463000344472779</v>
      </c>
      <c r="D690" s="6">
        <f t="shared" si="4"/>
        <v>0.73530319267293309</v>
      </c>
      <c r="E690" s="6">
        <f t="shared" si="5"/>
        <v>0.87395681421652249</v>
      </c>
    </row>
    <row r="691" spans="1:5" hidden="1" x14ac:dyDescent="0.35">
      <c r="A691" s="4">
        <v>47635</v>
      </c>
      <c r="C691">
        <f t="shared" si="3"/>
        <v>0.80592066198348189</v>
      </c>
      <c r="D691" s="6">
        <f t="shared" si="4"/>
        <v>0.73609558274052889</v>
      </c>
      <c r="E691" s="6">
        <f t="shared" si="5"/>
        <v>0.87574574122643489</v>
      </c>
    </row>
    <row r="692" spans="1:5" hidden="1" x14ac:dyDescent="0.35">
      <c r="A692" s="4">
        <v>47665</v>
      </c>
      <c r="C692">
        <f t="shared" si="3"/>
        <v>0.80721132052223676</v>
      </c>
      <c r="D692" s="6">
        <f t="shared" si="4"/>
        <v>0.73688597980170345</v>
      </c>
      <c r="E692" s="6">
        <f t="shared" si="5"/>
        <v>0.87753666124277008</v>
      </c>
    </row>
    <row r="693" spans="1:5" hidden="1" x14ac:dyDescent="0.35">
      <c r="A693" s="4">
        <v>47696</v>
      </c>
      <c r="C693">
        <f t="shared" si="3"/>
        <v>0.80850197906099086</v>
      </c>
      <c r="D693" s="6">
        <f t="shared" si="4"/>
        <v>0.7376743955344871</v>
      </c>
      <c r="E693" s="6">
        <f t="shared" si="5"/>
        <v>0.87932956258749462</v>
      </c>
    </row>
    <row r="694" spans="1:5" hidden="1" x14ac:dyDescent="0.35">
      <c r="A694" s="4">
        <v>47727</v>
      </c>
      <c r="C694">
        <f t="shared" si="3"/>
        <v>0.80979263759974585</v>
      </c>
      <c r="D694" s="6">
        <f t="shared" si="4"/>
        <v>0.73846084145376811</v>
      </c>
      <c r="E694" s="6">
        <f t="shared" si="5"/>
        <v>0.88112443374572358</v>
      </c>
    </row>
    <row r="695" spans="1:5" hidden="1" x14ac:dyDescent="0.35">
      <c r="A695" s="4">
        <v>47757</v>
      </c>
      <c r="C695">
        <f t="shared" si="3"/>
        <v>0.81108329613849983</v>
      </c>
      <c r="D695" s="6">
        <f t="shared" si="4"/>
        <v>0.73924532891382233</v>
      </c>
      <c r="E695" s="6">
        <f t="shared" si="5"/>
        <v>0.88292126336317733</v>
      </c>
    </row>
    <row r="696" spans="1:5" hidden="1" x14ac:dyDescent="0.35">
      <c r="A696" s="4">
        <v>47788</v>
      </c>
      <c r="C696">
        <f t="shared" si="3"/>
        <v>0.81237395467725482</v>
      </c>
      <c r="D696" s="6">
        <f t="shared" si="4"/>
        <v>0.74002786911083485</v>
      </c>
      <c r="E696" s="6">
        <f t="shared" si="5"/>
        <v>0.88472004024367479</v>
      </c>
    </row>
    <row r="697" spans="1:5" hidden="1" x14ac:dyDescent="0.35">
      <c r="A697" s="4">
        <v>47818</v>
      </c>
      <c r="C697">
        <f t="shared" si="3"/>
        <v>0.81366461321600891</v>
      </c>
      <c r="D697" s="6">
        <f t="shared" si="4"/>
        <v>0.74080847308538267</v>
      </c>
      <c r="E697" s="6">
        <f t="shared" si="5"/>
        <v>0.88652075334663516</v>
      </c>
    </row>
    <row r="698" spans="1:5" hidden="1" x14ac:dyDescent="0.35">
      <c r="A698" s="4">
        <v>47849</v>
      </c>
      <c r="C698">
        <f t="shared" si="3"/>
        <v>0.81495527175476379</v>
      </c>
      <c r="D698" s="6">
        <f t="shared" si="4"/>
        <v>0.74158715172490852</v>
      </c>
      <c r="E698" s="6">
        <f t="shared" si="5"/>
        <v>0.88832339178461905</v>
      </c>
    </row>
    <row r="699" spans="1:5" hidden="1" x14ac:dyDescent="0.35">
      <c r="A699" s="4">
        <v>47880</v>
      </c>
      <c r="C699">
        <f t="shared" si="3"/>
        <v>0.81624593029351789</v>
      </c>
      <c r="D699" s="6">
        <f t="shared" si="4"/>
        <v>0.74236391576615446</v>
      </c>
      <c r="E699" s="6">
        <f t="shared" si="5"/>
        <v>0.89012794482088131</v>
      </c>
    </row>
    <row r="700" spans="1:5" hidden="1" x14ac:dyDescent="0.35">
      <c r="A700" s="4">
        <v>47908</v>
      </c>
      <c r="C700">
        <f t="shared" si="3"/>
        <v>0.81753658883227287</v>
      </c>
      <c r="D700" s="6">
        <f t="shared" si="4"/>
        <v>0.74313877579758314</v>
      </c>
      <c r="E700" s="6">
        <f t="shared" si="5"/>
        <v>0.8919344018669626</v>
      </c>
    </row>
    <row r="701" spans="1:5" hidden="1" x14ac:dyDescent="0.35">
      <c r="A701" s="4">
        <v>47939</v>
      </c>
      <c r="C701">
        <f t="shared" si="3"/>
        <v>0.81882724737102686</v>
      </c>
      <c r="D701" s="6">
        <f t="shared" si="4"/>
        <v>0.7439117422617576</v>
      </c>
      <c r="E701" s="6">
        <f t="shared" si="5"/>
        <v>0.89374275248029611</v>
      </c>
    </row>
    <row r="702" spans="1:5" hidden="1" x14ac:dyDescent="0.35">
      <c r="A702" s="4">
        <v>47969</v>
      </c>
      <c r="C702">
        <f t="shared" ref="C702:C733" si="6">_xlfn.FORECAST.ETS(A702,$B$2:$B$637,$A$2:$A$637,1,1)</f>
        <v>0.82011790590978184</v>
      </c>
      <c r="D702" s="6">
        <f t="shared" ref="D702:D733" si="7">C702-_xlfn.FORECAST.ETS.CONFINT(A702,$B$2:$B$637,$A$2:$A$637,0.95,1,1)</f>
        <v>0.74468282545770825</v>
      </c>
      <c r="E702" s="6">
        <f t="shared" ref="E702:E733" si="8">C702+_xlfn.FORECAST.ETS.CONFINT(A702,$B$2:$B$637,$A$2:$A$637,0.95,1,1)</f>
        <v>0.89555298636185543</v>
      </c>
    </row>
    <row r="703" spans="1:5" hidden="1" x14ac:dyDescent="0.35">
      <c r="A703" s="4">
        <v>48000</v>
      </c>
      <c r="C703">
        <f t="shared" si="6"/>
        <v>0.82140856444853594</v>
      </c>
      <c r="D703" s="6">
        <f t="shared" si="7"/>
        <v>0.74545203554325634</v>
      </c>
      <c r="E703" s="6">
        <f t="shared" si="8"/>
        <v>0.89736509335381553</v>
      </c>
    </row>
    <row r="704" spans="1:5" hidden="1" x14ac:dyDescent="0.35">
      <c r="A704" s="4">
        <v>48030</v>
      </c>
      <c r="C704">
        <f t="shared" si="6"/>
        <v>0.82269922298729081</v>
      </c>
      <c r="D704" s="6">
        <f t="shared" si="7"/>
        <v>0.74621938253732267</v>
      </c>
      <c r="E704" s="6">
        <f t="shared" si="8"/>
        <v>0.89917906343725895</v>
      </c>
    </row>
    <row r="705" spans="1:5" hidden="1" x14ac:dyDescent="0.35">
      <c r="A705" s="4">
        <v>48061</v>
      </c>
      <c r="C705">
        <f t="shared" si="6"/>
        <v>0.82398988152604491</v>
      </c>
      <c r="D705" s="6">
        <f t="shared" si="7"/>
        <v>0.74698487632219335</v>
      </c>
      <c r="E705" s="6">
        <f t="shared" si="8"/>
        <v>0.90099488672989647</v>
      </c>
    </row>
    <row r="706" spans="1:5" hidden="1" x14ac:dyDescent="0.35">
      <c r="A706" s="4">
        <v>48092</v>
      </c>
      <c r="C706">
        <f t="shared" si="6"/>
        <v>0.82528054006479989</v>
      </c>
      <c r="D706" s="6">
        <f t="shared" si="7"/>
        <v>0.74774852664576885</v>
      </c>
      <c r="E706" s="6">
        <f t="shared" si="8"/>
        <v>0.90281255348383094</v>
      </c>
    </row>
    <row r="707" spans="1:5" hidden="1" x14ac:dyDescent="0.35">
      <c r="A707" s="4">
        <v>48122</v>
      </c>
      <c r="C707">
        <f t="shared" si="6"/>
        <v>0.82657119860355399</v>
      </c>
      <c r="D707" s="6">
        <f t="shared" si="7"/>
        <v>0.74851034312376985</v>
      </c>
      <c r="E707" s="6">
        <f t="shared" si="8"/>
        <v>0.90463205408333813</v>
      </c>
    </row>
    <row r="708" spans="1:5" hidden="1" x14ac:dyDescent="0.35">
      <c r="A708" s="4">
        <v>48153</v>
      </c>
      <c r="C708">
        <f t="shared" si="6"/>
        <v>0.82786185714230887</v>
      </c>
      <c r="D708" s="6">
        <f t="shared" si="7"/>
        <v>0.74927033524192599</v>
      </c>
      <c r="E708" s="6">
        <f t="shared" si="8"/>
        <v>0.90645337904269174</v>
      </c>
    </row>
    <row r="709" spans="1:5" hidden="1" x14ac:dyDescent="0.35">
      <c r="A709" s="4">
        <v>48183</v>
      </c>
      <c r="C709">
        <f t="shared" si="6"/>
        <v>0.82915251568106296</v>
      </c>
      <c r="D709" s="6">
        <f t="shared" si="7"/>
        <v>0.7500285123581204</v>
      </c>
      <c r="E709" s="6">
        <f t="shared" si="8"/>
        <v>0.90827651900400552</v>
      </c>
    </row>
    <row r="710" spans="1:5" hidden="1" x14ac:dyDescent="0.35">
      <c r="A710" s="4">
        <v>48214</v>
      </c>
      <c r="C710">
        <f t="shared" si="6"/>
        <v>0.83044317421981795</v>
      </c>
      <c r="D710" s="6">
        <f t="shared" si="7"/>
        <v>0.75078488370451701</v>
      </c>
      <c r="E710" s="6">
        <f t="shared" si="8"/>
        <v>0.91010146473511888</v>
      </c>
    </row>
    <row r="711" spans="1:5" hidden="1" x14ac:dyDescent="0.35">
      <c r="A711" s="4">
        <v>48245</v>
      </c>
      <c r="C711">
        <f t="shared" si="6"/>
        <v>0.83173383275857193</v>
      </c>
      <c r="D711" s="6">
        <f t="shared" si="7"/>
        <v>0.7515394583896432</v>
      </c>
      <c r="E711" s="6">
        <f t="shared" si="8"/>
        <v>0.91192820712750067</v>
      </c>
    </row>
    <row r="712" spans="1:5" hidden="1" x14ac:dyDescent="0.35">
      <c r="A712" s="4">
        <v>48274</v>
      </c>
      <c r="C712">
        <f t="shared" si="6"/>
        <v>0.83302449129732692</v>
      </c>
      <c r="D712" s="6">
        <f t="shared" si="7"/>
        <v>0.75229224540045603</v>
      </c>
      <c r="E712" s="6">
        <f t="shared" si="8"/>
        <v>0.91375673719419781</v>
      </c>
    </row>
    <row r="713" spans="1:5" hidden="1" x14ac:dyDescent="0.35">
      <c r="A713" s="4">
        <v>48305</v>
      </c>
      <c r="C713">
        <f t="shared" si="6"/>
        <v>0.83431514983608102</v>
      </c>
      <c r="D713" s="6">
        <f t="shared" si="7"/>
        <v>0.75304325360436253</v>
      </c>
      <c r="E713" s="6">
        <f t="shared" si="8"/>
        <v>0.9155870460677995</v>
      </c>
    </row>
    <row r="714" spans="1:5" hidden="1" x14ac:dyDescent="0.35">
      <c r="A714" s="4">
        <v>48335</v>
      </c>
      <c r="C714">
        <f t="shared" si="6"/>
        <v>0.83560580837483589</v>
      </c>
      <c r="D714" s="6">
        <f t="shared" si="7"/>
        <v>0.75379249175122365</v>
      </c>
      <c r="E714" s="6">
        <f t="shared" si="8"/>
        <v>0.91741912499844813</v>
      </c>
    </row>
    <row r="715" spans="1:5" hidden="1" x14ac:dyDescent="0.35">
      <c r="A715" s="4">
        <v>48366</v>
      </c>
      <c r="C715">
        <f t="shared" si="6"/>
        <v>0.83689646691358999</v>
      </c>
      <c r="D715" s="6">
        <f t="shared" si="7"/>
        <v>0.75453996847531357</v>
      </c>
      <c r="E715" s="6">
        <f t="shared" si="8"/>
        <v>0.9192529653518664</v>
      </c>
    </row>
    <row r="716" spans="1:5" hidden="1" x14ac:dyDescent="0.35">
      <c r="A716" s="4">
        <v>48396</v>
      </c>
      <c r="C716">
        <f t="shared" si="6"/>
        <v>0.83818712545234497</v>
      </c>
      <c r="D716" s="6">
        <f t="shared" si="7"/>
        <v>0.75528569229726161</v>
      </c>
      <c r="E716" s="6">
        <f t="shared" si="8"/>
        <v>0.92108855860742833</v>
      </c>
    </row>
    <row r="717" spans="1:5" hidden="1" x14ac:dyDescent="0.35">
      <c r="A717" s="4">
        <v>48427</v>
      </c>
      <c r="C717">
        <f t="shared" si="6"/>
        <v>0.83947778399109896</v>
      </c>
      <c r="D717" s="6">
        <f t="shared" si="7"/>
        <v>0.7560296716259497</v>
      </c>
      <c r="E717" s="6">
        <f t="shared" si="8"/>
        <v>0.92292589635624822</v>
      </c>
    </row>
    <row r="718" spans="1:5" hidden="1" x14ac:dyDescent="0.35">
      <c r="A718" s="4">
        <v>48458</v>
      </c>
      <c r="C718">
        <f t="shared" si="6"/>
        <v>0.84076844252985394</v>
      </c>
      <c r="D718" s="6">
        <f t="shared" si="7"/>
        <v>0.75677191476039407</v>
      </c>
      <c r="E718" s="6">
        <f t="shared" si="8"/>
        <v>0.92476497029931382</v>
      </c>
    </row>
    <row r="719" spans="1:5" hidden="1" x14ac:dyDescent="0.35">
      <c r="A719" s="4">
        <v>48488</v>
      </c>
      <c r="C719">
        <f t="shared" si="6"/>
        <v>0.84205910106860804</v>
      </c>
      <c r="D719" s="6">
        <f t="shared" si="7"/>
        <v>0.75751242989158107</v>
      </c>
      <c r="E719" s="6">
        <f t="shared" si="8"/>
        <v>0.92660577224563501</v>
      </c>
    </row>
    <row r="720" spans="1:5" hidden="1" x14ac:dyDescent="0.35">
      <c r="A720" s="4">
        <v>48519</v>
      </c>
      <c r="C720">
        <f t="shared" si="6"/>
        <v>0.84334975960736291</v>
      </c>
      <c r="D720" s="6">
        <f t="shared" si="7"/>
        <v>0.75825122510428833</v>
      </c>
      <c r="E720" s="6">
        <f t="shared" si="8"/>
        <v>0.9284482941104375</v>
      </c>
    </row>
    <row r="721" spans="1:5" hidden="1" x14ac:dyDescent="0.35">
      <c r="A721" s="4">
        <v>48549</v>
      </c>
      <c r="C721">
        <f t="shared" si="6"/>
        <v>0.84464041814611701</v>
      </c>
      <c r="D721" s="6">
        <f t="shared" si="7"/>
        <v>0.75898830837886178</v>
      </c>
      <c r="E721" s="6">
        <f t="shared" si="8"/>
        <v>0.93029252791337225</v>
      </c>
    </row>
    <row r="722" spans="1:5" hidden="1" x14ac:dyDescent="0.35">
      <c r="A722" s="4">
        <v>48580</v>
      </c>
      <c r="C722">
        <f t="shared" si="6"/>
        <v>0.845931076684872</v>
      </c>
      <c r="D722" s="6">
        <f t="shared" si="7"/>
        <v>0.75972368759297582</v>
      </c>
      <c r="E722" s="6">
        <f t="shared" si="8"/>
        <v>0.93213846577676818</v>
      </c>
    </row>
    <row r="723" spans="1:5" hidden="1" x14ac:dyDescent="0.35">
      <c r="A723" s="4">
        <v>48611</v>
      </c>
      <c r="C723">
        <f t="shared" si="6"/>
        <v>0.84722173522362598</v>
      </c>
      <c r="D723" s="6">
        <f t="shared" si="7"/>
        <v>0.76045737052335149</v>
      </c>
      <c r="E723" s="6">
        <f t="shared" si="8"/>
        <v>0.93398609992390047</v>
      </c>
    </row>
    <row r="724" spans="1:5" hidden="1" x14ac:dyDescent="0.35">
      <c r="A724" s="4">
        <v>48639</v>
      </c>
      <c r="C724">
        <f t="shared" si="6"/>
        <v>0.84851239376238097</v>
      </c>
      <c r="D724" s="6">
        <f t="shared" si="7"/>
        <v>0.76118936484745903</v>
      </c>
      <c r="E724" s="6">
        <f t="shared" si="8"/>
        <v>0.93583542267730291</v>
      </c>
    </row>
    <row r="725" spans="1:5" hidden="1" x14ac:dyDescent="0.35">
      <c r="A725" s="4">
        <v>48670</v>
      </c>
      <c r="C725">
        <f t="shared" si="6"/>
        <v>0.84980305230113506</v>
      </c>
      <c r="D725" s="6">
        <f t="shared" si="7"/>
        <v>0.76191967814517703</v>
      </c>
      <c r="E725" s="6">
        <f t="shared" si="8"/>
        <v>0.9376864264570931</v>
      </c>
    </row>
    <row r="726" spans="1:5" hidden="1" x14ac:dyDescent="0.35">
      <c r="A726" s="4">
        <v>48700</v>
      </c>
      <c r="C726">
        <f t="shared" si="6"/>
        <v>0.85109371083988994</v>
      </c>
      <c r="D726" s="6">
        <f t="shared" si="7"/>
        <v>0.7626483179004383</v>
      </c>
      <c r="E726" s="6">
        <f t="shared" si="8"/>
        <v>0.93953910377934158</v>
      </c>
    </row>
    <row r="727" spans="1:5" hidden="1" x14ac:dyDescent="0.35">
      <c r="A727" s="4">
        <v>48731</v>
      </c>
      <c r="C727">
        <f t="shared" si="6"/>
        <v>0.85238436937864404</v>
      </c>
      <c r="D727" s="6">
        <f t="shared" si="7"/>
        <v>0.76337529150283201</v>
      </c>
      <c r="E727" s="6">
        <f t="shared" si="8"/>
        <v>0.94139344725445606</v>
      </c>
    </row>
    <row r="728" spans="1:5" hidden="1" x14ac:dyDescent="0.35">
      <c r="A728" s="4">
        <v>48761</v>
      </c>
      <c r="C728">
        <f t="shared" si="6"/>
        <v>0.85367502791739902</v>
      </c>
      <c r="D728" s="6">
        <f t="shared" si="7"/>
        <v>0.76410060624919318</v>
      </c>
      <c r="E728" s="6">
        <f t="shared" si="8"/>
        <v>0.94324944958560486</v>
      </c>
    </row>
    <row r="729" spans="1:5" hidden="1" x14ac:dyDescent="0.35">
      <c r="A729" s="4">
        <v>48792</v>
      </c>
      <c r="C729">
        <f t="shared" si="6"/>
        <v>0.85496568645615301</v>
      </c>
      <c r="D729" s="6">
        <f t="shared" si="7"/>
        <v>0.76482426934514969</v>
      </c>
      <c r="E729" s="6">
        <f t="shared" si="8"/>
        <v>0.94510710356715633</v>
      </c>
    </row>
    <row r="730" spans="1:5" hidden="1" x14ac:dyDescent="0.35">
      <c r="A730" s="4">
        <v>48823</v>
      </c>
      <c r="C730">
        <f t="shared" si="6"/>
        <v>0.85625634499490799</v>
      </c>
      <c r="D730" s="6">
        <f t="shared" si="7"/>
        <v>0.76554628790665691</v>
      </c>
      <c r="E730" s="6">
        <f t="shared" si="8"/>
        <v>0.94696640208315908</v>
      </c>
    </row>
    <row r="731" spans="1:5" hidden="1" x14ac:dyDescent="0.35">
      <c r="A731" s="4">
        <v>48853</v>
      </c>
      <c r="C731">
        <f t="shared" si="6"/>
        <v>0.85754700353366209</v>
      </c>
      <c r="D731" s="6">
        <f t="shared" si="7"/>
        <v>0.76626666896149087</v>
      </c>
      <c r="E731" s="6">
        <f t="shared" si="8"/>
        <v>0.94882733810583331</v>
      </c>
    </row>
    <row r="732" spans="1:5" hidden="1" x14ac:dyDescent="0.35">
      <c r="A732" s="4">
        <v>48884</v>
      </c>
      <c r="C732">
        <f t="shared" si="6"/>
        <v>0.85883766207241696</v>
      </c>
      <c r="D732" s="6">
        <f t="shared" si="7"/>
        <v>0.76698541945072851</v>
      </c>
      <c r="E732" s="6">
        <f t="shared" si="8"/>
        <v>0.95068990469410541</v>
      </c>
    </row>
    <row r="733" spans="1:5" hidden="1" x14ac:dyDescent="0.35">
      <c r="A733" s="4">
        <v>48914</v>
      </c>
      <c r="C733">
        <f t="shared" si="6"/>
        <v>0.86012832061117106</v>
      </c>
      <c r="D733" s="6">
        <f t="shared" si="7"/>
        <v>0.76770254623018941</v>
      </c>
      <c r="E733" s="6">
        <f t="shared" si="8"/>
        <v>0.95255409499215271</v>
      </c>
    </row>
    <row r="734" spans="1:5" hidden="1" x14ac:dyDescent="0.35">
      <c r="A734" s="4">
        <v>48945</v>
      </c>
      <c r="C734">
        <f t="shared" ref="C734:C748" si="9">_xlfn.FORECAST.ETS(A734,$B$2:$B$637,$A$2:$A$637,1,1)</f>
        <v>0.86141897914992605</v>
      </c>
      <c r="D734" s="6">
        <f t="shared" ref="D734:D765" si="10">C734-_xlfn.FORECAST.ETS.CONFINT(A734,$B$2:$B$637,$A$2:$A$637,0.95,1,1)</f>
        <v>0.76841805607186375</v>
      </c>
      <c r="E734" s="6">
        <f t="shared" ref="E734:E748" si="11">C734+_xlfn.FORECAST.ETS.CONFINT(A734,$B$2:$B$637,$A$2:$A$637,0.95,1,1)</f>
        <v>0.95441990222798834</v>
      </c>
    </row>
    <row r="735" spans="1:5" hidden="1" x14ac:dyDescent="0.35">
      <c r="A735" s="4">
        <v>48976</v>
      </c>
      <c r="C735">
        <f t="shared" si="9"/>
        <v>0.86270963768868003</v>
      </c>
      <c r="D735" s="6">
        <f t="shared" si="10"/>
        <v>0.76913195566530157</v>
      </c>
      <c r="E735" s="6">
        <f t="shared" si="11"/>
        <v>0.95628731971205849</v>
      </c>
    </row>
    <row r="736" spans="1:5" hidden="1" x14ac:dyDescent="0.35">
      <c r="A736" s="4">
        <v>49004</v>
      </c>
      <c r="C736">
        <f t="shared" si="9"/>
        <v>0.86400029622743502</v>
      </c>
      <c r="D736" s="6">
        <f t="shared" si="10"/>
        <v>0.76984425161899239</v>
      </c>
      <c r="E736" s="6">
        <f t="shared" si="11"/>
        <v>0.95815634083587764</v>
      </c>
    </row>
    <row r="737" spans="1:5" hidden="1" x14ac:dyDescent="0.35">
      <c r="A737" s="4">
        <v>49035</v>
      </c>
      <c r="C737">
        <f t="shared" si="9"/>
        <v>0.86529095476618911</v>
      </c>
      <c r="D737" s="6">
        <f t="shared" si="10"/>
        <v>0.77055495046170319</v>
      </c>
      <c r="E737" s="6">
        <f t="shared" si="11"/>
        <v>0.96002695907067503</v>
      </c>
    </row>
    <row r="738" spans="1:5" hidden="1" x14ac:dyDescent="0.35">
      <c r="A738" s="4">
        <v>49065</v>
      </c>
      <c r="C738">
        <f t="shared" si="9"/>
        <v>0.86658161330494399</v>
      </c>
      <c r="D738" s="6">
        <f t="shared" si="10"/>
        <v>0.77126405864380876</v>
      </c>
      <c r="E738" s="6">
        <f t="shared" si="11"/>
        <v>0.96189916796607922</v>
      </c>
    </row>
    <row r="739" spans="1:5" hidden="1" x14ac:dyDescent="0.35">
      <c r="A739" s="4">
        <v>49096</v>
      </c>
      <c r="C739">
        <f t="shared" si="9"/>
        <v>0.86787227184369808</v>
      </c>
      <c r="D739" s="6">
        <f t="shared" si="10"/>
        <v>0.77197158253858333</v>
      </c>
      <c r="E739" s="6">
        <f t="shared" si="11"/>
        <v>0.96377296114881283</v>
      </c>
    </row>
    <row r="740" spans="1:5" hidden="1" x14ac:dyDescent="0.35">
      <c r="A740" s="4">
        <v>49126</v>
      </c>
      <c r="C740">
        <f t="shared" si="9"/>
        <v>0.86916293038245307</v>
      </c>
      <c r="D740" s="6">
        <f t="shared" si="10"/>
        <v>0.77267752844348148</v>
      </c>
      <c r="E740" s="6">
        <f t="shared" si="11"/>
        <v>0.96564833232142466</v>
      </c>
    </row>
    <row r="741" spans="1:5" hidden="1" x14ac:dyDescent="0.35">
      <c r="A741" s="4">
        <v>49157</v>
      </c>
      <c r="C741">
        <f t="shared" si="9"/>
        <v>0.87045358892120706</v>
      </c>
      <c r="D741" s="6">
        <f t="shared" si="10"/>
        <v>0.7733819025813834</v>
      </c>
      <c r="E741" s="6">
        <f t="shared" si="11"/>
        <v>0.96752527526103071</v>
      </c>
    </row>
    <row r="742" spans="1:5" hidden="1" x14ac:dyDescent="0.35">
      <c r="A742" s="4">
        <v>49188</v>
      </c>
      <c r="C742">
        <f t="shared" si="9"/>
        <v>0.87174424745996204</v>
      </c>
      <c r="D742" s="6">
        <f t="shared" si="10"/>
        <v>0.77408471110183108</v>
      </c>
      <c r="E742" s="6">
        <f t="shared" si="11"/>
        <v>0.969403783818093</v>
      </c>
    </row>
    <row r="743" spans="1:5" hidden="1" x14ac:dyDescent="0.35">
      <c r="A743" s="4">
        <v>49218</v>
      </c>
      <c r="C743">
        <f t="shared" si="9"/>
        <v>0.87303490599871614</v>
      </c>
      <c r="D743" s="6">
        <f t="shared" si="10"/>
        <v>0.77478596008222667</v>
      </c>
      <c r="E743" s="6">
        <f t="shared" si="11"/>
        <v>0.97128385191520561</v>
      </c>
    </row>
    <row r="744" spans="1:5" hidden="1" x14ac:dyDescent="0.35">
      <c r="A744" s="4">
        <v>49249</v>
      </c>
      <c r="C744">
        <f t="shared" si="9"/>
        <v>0.87432556453747101</v>
      </c>
      <c r="D744" s="6">
        <f t="shared" si="10"/>
        <v>0.77548565552902471</v>
      </c>
      <c r="E744" s="6">
        <f t="shared" si="11"/>
        <v>0.97316547354591731</v>
      </c>
    </row>
    <row r="745" spans="1:5" hidden="1" x14ac:dyDescent="0.35">
      <c r="A745" s="4">
        <v>49279</v>
      </c>
      <c r="C745">
        <f t="shared" si="9"/>
        <v>0.87561622307622511</v>
      </c>
      <c r="D745" s="6">
        <f t="shared" si="10"/>
        <v>0.77618380337888748</v>
      </c>
      <c r="E745" s="6">
        <f t="shared" si="11"/>
        <v>0.97504864277356273</v>
      </c>
    </row>
    <row r="746" spans="1:5" hidden="1" x14ac:dyDescent="0.35">
      <c r="A746" s="4">
        <v>49310</v>
      </c>
      <c r="C746">
        <f t="shared" si="9"/>
        <v>0.87690688161498009</v>
      </c>
      <c r="D746" s="6">
        <f t="shared" si="10"/>
        <v>0.77688040949983306</v>
      </c>
      <c r="E746" s="6">
        <f t="shared" si="11"/>
        <v>0.97693335373012713</v>
      </c>
    </row>
    <row r="747" spans="1:5" hidden="1" x14ac:dyDescent="0.35">
      <c r="A747" s="4">
        <v>49341</v>
      </c>
      <c r="C747">
        <f t="shared" si="9"/>
        <v>0.87819754015373408</v>
      </c>
      <c r="D747" s="6">
        <f t="shared" si="10"/>
        <v>0.77757547969234886</v>
      </c>
      <c r="E747" s="6">
        <f t="shared" si="11"/>
        <v>0.9788196006151193</v>
      </c>
    </row>
    <row r="748" spans="1:5" hidden="1" x14ac:dyDescent="0.35">
      <c r="A748" s="4">
        <v>49369</v>
      </c>
      <c r="C748">
        <f t="shared" si="9"/>
        <v>0.87948819869248906</v>
      </c>
      <c r="D748" s="6">
        <f t="shared" si="10"/>
        <v>0.77826901969049866</v>
      </c>
      <c r="E748" s="6">
        <f t="shared" si="11"/>
        <v>0.98070737769447947</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84B397-959D-4193-A06F-D804C1CBA8E8}">
  <dimension ref="A1"/>
  <sheetViews>
    <sheetView topLeftCell="A14" zoomScale="109" zoomScaleNormal="220" workbookViewId="0">
      <selection activeCell="S14" sqref="S14"/>
    </sheetView>
  </sheetViews>
  <sheetFormatPr defaultRowHeight="14.5" x14ac:dyDescent="0.3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651"/>
  <sheetViews>
    <sheetView tabSelected="1" topLeftCell="A166" workbookViewId="0">
      <selection activeCell="C651" sqref="C651"/>
    </sheetView>
  </sheetViews>
  <sheetFormatPr defaultRowHeight="14.5" x14ac:dyDescent="0.35"/>
  <cols>
    <col min="1" max="1" width="20" customWidth="1"/>
    <col min="2" max="2" width="20" style="4" customWidth="1"/>
    <col min="3" max="3" width="16" customWidth="1"/>
    <col min="4" max="4" width="62" customWidth="1"/>
    <col min="5" max="5" width="42" customWidth="1"/>
    <col min="6" max="6" width="30" customWidth="1"/>
    <col min="7" max="7" width="34" customWidth="1"/>
    <col min="8" max="8" width="31" customWidth="1"/>
    <col min="9" max="9" width="29" customWidth="1"/>
    <col min="10" max="10" width="24" customWidth="1"/>
    <col min="11" max="11" width="23" customWidth="1"/>
    <col min="12" max="12" width="26" customWidth="1"/>
    <col min="13" max="13" width="34" customWidth="1"/>
    <col min="14" max="14" width="32" customWidth="1"/>
  </cols>
  <sheetData>
    <row r="1" spans="1:14" ht="18.5" x14ac:dyDescent="0.45">
      <c r="A1" s="9" t="s">
        <v>0</v>
      </c>
      <c r="B1" s="8"/>
      <c r="C1" s="8"/>
    </row>
    <row r="2" spans="1:14" ht="18.5" x14ac:dyDescent="0.45">
      <c r="A2" s="10" t="s">
        <v>1</v>
      </c>
      <c r="B2" s="8"/>
      <c r="C2" s="8"/>
    </row>
    <row r="4" spans="1:14" x14ac:dyDescent="0.35">
      <c r="A4" s="8" t="s">
        <v>2</v>
      </c>
      <c r="B4" s="8"/>
      <c r="C4" s="8"/>
    </row>
    <row r="5" spans="1:14" x14ac:dyDescent="0.35">
      <c r="A5" s="8" t="s">
        <v>3</v>
      </c>
      <c r="B5" s="8"/>
      <c r="C5" s="8"/>
    </row>
    <row r="7" spans="1:14" ht="15.5" x14ac:dyDescent="0.35">
      <c r="A7" s="11" t="s">
        <v>4</v>
      </c>
      <c r="B7" s="8"/>
      <c r="C7" s="8"/>
    </row>
    <row r="9" spans="1:14" x14ac:dyDescent="0.35">
      <c r="A9" s="1" t="s">
        <v>5</v>
      </c>
      <c r="B9" s="5" t="s">
        <v>656</v>
      </c>
      <c r="C9" s="1" t="s">
        <v>6</v>
      </c>
      <c r="D9" s="1" t="s">
        <v>7</v>
      </c>
      <c r="E9" s="1" t="s">
        <v>8</v>
      </c>
      <c r="F9" s="1" t="s">
        <v>9</v>
      </c>
      <c r="G9" s="1" t="s">
        <v>10</v>
      </c>
      <c r="H9" s="1" t="s">
        <v>11</v>
      </c>
      <c r="I9" s="1" t="s">
        <v>12</v>
      </c>
      <c r="J9" s="1" t="s">
        <v>13</v>
      </c>
      <c r="K9" s="1" t="s">
        <v>14</v>
      </c>
      <c r="L9" s="1" t="s">
        <v>15</v>
      </c>
      <c r="M9" s="1" t="s">
        <v>16</v>
      </c>
      <c r="N9" s="1" t="s">
        <v>17</v>
      </c>
    </row>
    <row r="10" spans="1:14" x14ac:dyDescent="0.35">
      <c r="A10" s="1"/>
      <c r="B10" s="5"/>
      <c r="C10" s="1" t="s">
        <v>18</v>
      </c>
      <c r="D10" s="1" t="s">
        <v>18</v>
      </c>
      <c r="E10" s="1" t="s">
        <v>18</v>
      </c>
      <c r="F10" s="1" t="s">
        <v>18</v>
      </c>
      <c r="G10" s="1" t="s">
        <v>18</v>
      </c>
      <c r="H10" s="1" t="s">
        <v>18</v>
      </c>
      <c r="I10" s="1" t="s">
        <v>18</v>
      </c>
      <c r="J10" s="1" t="s">
        <v>18</v>
      </c>
      <c r="K10" s="1" t="s">
        <v>18</v>
      </c>
      <c r="L10" s="1" t="s">
        <v>18</v>
      </c>
      <c r="M10" s="1" t="s">
        <v>18</v>
      </c>
      <c r="N10" s="1" t="s">
        <v>18</v>
      </c>
    </row>
    <row r="12" spans="1:14" x14ac:dyDescent="0.35">
      <c r="A12" s="2" t="s">
        <v>19</v>
      </c>
      <c r="B12" s="3">
        <f>DATEVALUE(MID(A12, 6, 20) &amp; " 1, " &amp; LEFT(A12, 4))</f>
        <v>26665</v>
      </c>
      <c r="C12" s="2">
        <v>1.166191</v>
      </c>
      <c r="D12" s="2">
        <v>2.3973080000000002</v>
      </c>
      <c r="E12" s="2">
        <v>3.1852680000000002</v>
      </c>
      <c r="F12" s="2">
        <v>6.7476510000000003</v>
      </c>
      <c r="G12" s="2">
        <v>6.8102999999999997E-2</v>
      </c>
      <c r="H12" s="2">
        <v>8.9562000000000003E-2</v>
      </c>
      <c r="I12" s="2">
        <v>4.8999999999999998E-4</v>
      </c>
      <c r="J12" s="2">
        <v>0</v>
      </c>
      <c r="K12" s="2">
        <v>0</v>
      </c>
      <c r="L12" s="2">
        <v>0.12978700000000001</v>
      </c>
      <c r="M12" s="2">
        <v>0.21983900000000001</v>
      </c>
      <c r="N12" s="2">
        <v>7.0397309999999997</v>
      </c>
    </row>
    <row r="13" spans="1:14" x14ac:dyDescent="0.35">
      <c r="A13" s="2" t="s">
        <v>20</v>
      </c>
      <c r="B13" s="3">
        <f t="shared" ref="B13:B76" si="0">DATEVALUE(MID(A13, 6, 20) &amp; " 1, " &amp; LEFT(A13, 4))</f>
        <v>26696</v>
      </c>
      <c r="C13" s="2">
        <v>1.0505880000000001</v>
      </c>
      <c r="D13" s="2">
        <v>2.1706460000000001</v>
      </c>
      <c r="E13" s="2">
        <v>2.941986</v>
      </c>
      <c r="F13" s="2">
        <v>6.1630950000000002</v>
      </c>
      <c r="G13" s="2">
        <v>6.4633999999999997E-2</v>
      </c>
      <c r="H13" s="2">
        <v>7.9544000000000004E-2</v>
      </c>
      <c r="I13" s="2">
        <v>4.4799999999999999E-4</v>
      </c>
      <c r="J13" s="2">
        <v>0</v>
      </c>
      <c r="K13" s="2">
        <v>0</v>
      </c>
      <c r="L13" s="2">
        <v>0.117338</v>
      </c>
      <c r="M13" s="2">
        <v>0.19733000000000001</v>
      </c>
      <c r="N13" s="2">
        <v>6.4287960000000002</v>
      </c>
    </row>
    <row r="14" spans="1:14" x14ac:dyDescent="0.35">
      <c r="A14" s="2" t="s">
        <v>21</v>
      </c>
      <c r="B14" s="3">
        <f t="shared" si="0"/>
        <v>26724</v>
      </c>
      <c r="C14" s="2">
        <v>1.046856</v>
      </c>
      <c r="D14" s="2">
        <v>2.057315</v>
      </c>
      <c r="E14" s="2">
        <v>2.942485</v>
      </c>
      <c r="F14" s="2">
        <v>6.0446470000000003</v>
      </c>
      <c r="G14" s="2">
        <v>7.2494000000000003E-2</v>
      </c>
      <c r="H14" s="2">
        <v>8.8284000000000001E-2</v>
      </c>
      <c r="I14" s="2">
        <v>4.64E-4</v>
      </c>
      <c r="J14" s="2">
        <v>0</v>
      </c>
      <c r="K14" s="2">
        <v>0</v>
      </c>
      <c r="L14" s="2">
        <v>0.129938</v>
      </c>
      <c r="M14" s="2">
        <v>0.21868599999999999</v>
      </c>
      <c r="N14" s="2">
        <v>6.3399640000000002</v>
      </c>
    </row>
    <row r="15" spans="1:14" x14ac:dyDescent="0.35">
      <c r="A15" s="2" t="s">
        <v>22</v>
      </c>
      <c r="B15" s="3">
        <f t="shared" si="0"/>
        <v>26755</v>
      </c>
      <c r="C15" s="2">
        <v>0.99897899999999995</v>
      </c>
      <c r="D15" s="2">
        <v>1.873535</v>
      </c>
      <c r="E15" s="2">
        <v>2.6213150000000001</v>
      </c>
      <c r="F15" s="2">
        <v>5.4931840000000003</v>
      </c>
      <c r="G15" s="2">
        <v>6.4070000000000002E-2</v>
      </c>
      <c r="H15" s="2">
        <v>8.3152000000000004E-2</v>
      </c>
      <c r="I15" s="2">
        <v>5.4199999999999995E-4</v>
      </c>
      <c r="J15" s="2">
        <v>0</v>
      </c>
      <c r="K15" s="2">
        <v>0</v>
      </c>
      <c r="L15" s="2">
        <v>0.125636</v>
      </c>
      <c r="M15" s="2">
        <v>0.20932999999999999</v>
      </c>
      <c r="N15" s="2">
        <v>5.7705890000000002</v>
      </c>
    </row>
    <row r="16" spans="1:14" x14ac:dyDescent="0.35">
      <c r="A16" s="2" t="s">
        <v>23</v>
      </c>
      <c r="B16" s="3">
        <f t="shared" si="0"/>
        <v>26785</v>
      </c>
      <c r="C16" s="2">
        <v>1.014502</v>
      </c>
      <c r="D16" s="2">
        <v>1.765309</v>
      </c>
      <c r="E16" s="2">
        <v>2.8365670000000001</v>
      </c>
      <c r="F16" s="2">
        <v>5.6135510000000002</v>
      </c>
      <c r="G16" s="2">
        <v>6.2111E-2</v>
      </c>
      <c r="H16" s="2">
        <v>8.5642999999999997E-2</v>
      </c>
      <c r="I16" s="2">
        <v>5.0500000000000002E-4</v>
      </c>
      <c r="J16" s="2">
        <v>0</v>
      </c>
      <c r="K16" s="2">
        <v>0</v>
      </c>
      <c r="L16" s="2">
        <v>0.129834</v>
      </c>
      <c r="M16" s="2">
        <v>0.21598200000000001</v>
      </c>
      <c r="N16" s="2">
        <v>5.8957810000000004</v>
      </c>
    </row>
    <row r="17" spans="1:14" x14ac:dyDescent="0.35">
      <c r="A17" s="2" t="s">
        <v>24</v>
      </c>
      <c r="B17" s="3">
        <f t="shared" si="0"/>
        <v>26816</v>
      </c>
      <c r="C17" s="2">
        <v>1.0500769999999999</v>
      </c>
      <c r="D17" s="2">
        <v>1.566214</v>
      </c>
      <c r="E17" s="2">
        <v>2.7314349999999998</v>
      </c>
      <c r="F17" s="2">
        <v>5.3474789999999999</v>
      </c>
      <c r="G17" s="2">
        <v>7.3968000000000006E-2</v>
      </c>
      <c r="H17" s="2">
        <v>8.2059999999999994E-2</v>
      </c>
      <c r="I17" s="2">
        <v>5.7899999999999998E-4</v>
      </c>
      <c r="J17" s="2">
        <v>0</v>
      </c>
      <c r="K17" s="2">
        <v>0</v>
      </c>
      <c r="L17" s="2">
        <v>0.125611</v>
      </c>
      <c r="M17" s="2">
        <v>0.20824899999999999</v>
      </c>
      <c r="N17" s="2">
        <v>5.6337000000000002</v>
      </c>
    </row>
    <row r="18" spans="1:14" x14ac:dyDescent="0.35">
      <c r="A18" s="2" t="s">
        <v>25</v>
      </c>
      <c r="B18" s="3">
        <f t="shared" si="0"/>
        <v>26846</v>
      </c>
      <c r="C18" s="2">
        <v>1.110438</v>
      </c>
      <c r="D18" s="2">
        <v>1.5907180000000001</v>
      </c>
      <c r="E18" s="2">
        <v>2.8045399999999998</v>
      </c>
      <c r="F18" s="2">
        <v>5.504556</v>
      </c>
      <c r="G18" s="2">
        <v>7.5889999999999999E-2</v>
      </c>
      <c r="H18" s="2">
        <v>7.7399999999999997E-2</v>
      </c>
      <c r="I18" s="2">
        <v>6.1399999999999996E-4</v>
      </c>
      <c r="J18" s="2">
        <v>0</v>
      </c>
      <c r="K18" s="2">
        <v>0</v>
      </c>
      <c r="L18" s="2">
        <v>0.12978700000000001</v>
      </c>
      <c r="M18" s="2">
        <v>0.20780000000000001</v>
      </c>
      <c r="N18" s="2">
        <v>5.7923830000000001</v>
      </c>
    </row>
    <row r="19" spans="1:14" x14ac:dyDescent="0.35">
      <c r="A19" s="2" t="s">
        <v>26</v>
      </c>
      <c r="B19" s="3">
        <f t="shared" si="0"/>
        <v>26877</v>
      </c>
      <c r="C19" s="2">
        <v>1.1356790000000001</v>
      </c>
      <c r="D19" s="2">
        <v>1.6152219999999999</v>
      </c>
      <c r="E19" s="2">
        <v>2.999441</v>
      </c>
      <c r="F19" s="2">
        <v>5.7488789999999996</v>
      </c>
      <c r="G19" s="2">
        <v>8.4883E-2</v>
      </c>
      <c r="H19" s="2">
        <v>7.2936000000000001E-2</v>
      </c>
      <c r="I19" s="2">
        <v>5.7899999999999998E-4</v>
      </c>
      <c r="J19" s="2">
        <v>0</v>
      </c>
      <c r="K19" s="2">
        <v>0</v>
      </c>
      <c r="L19" s="2">
        <v>0.12991800000000001</v>
      </c>
      <c r="M19" s="2">
        <v>0.203432</v>
      </c>
      <c r="N19" s="2">
        <v>6.0413319999999997</v>
      </c>
    </row>
    <row r="20" spans="1:14" x14ac:dyDescent="0.35">
      <c r="A20" s="2" t="s">
        <v>27</v>
      </c>
      <c r="B20" s="3">
        <f t="shared" si="0"/>
        <v>26908</v>
      </c>
      <c r="C20" s="2">
        <v>1.0577319999999999</v>
      </c>
      <c r="D20" s="2">
        <v>1.559067</v>
      </c>
      <c r="E20" s="2">
        <v>2.7611729999999999</v>
      </c>
      <c r="F20" s="2">
        <v>5.3767820000000004</v>
      </c>
      <c r="G20" s="2">
        <v>8.5723999999999995E-2</v>
      </c>
      <c r="H20" s="2">
        <v>5.9028999999999998E-2</v>
      </c>
      <c r="I20" s="2">
        <v>4.8999999999999998E-4</v>
      </c>
      <c r="J20" s="2">
        <v>0</v>
      </c>
      <c r="K20" s="2">
        <v>0</v>
      </c>
      <c r="L20" s="2">
        <v>0.125782</v>
      </c>
      <c r="M20" s="2">
        <v>0.18529999999999999</v>
      </c>
      <c r="N20" s="2">
        <v>5.6518090000000001</v>
      </c>
    </row>
    <row r="21" spans="1:14" x14ac:dyDescent="0.35">
      <c r="A21" s="2" t="s">
        <v>28</v>
      </c>
      <c r="B21" s="3">
        <f t="shared" si="0"/>
        <v>26938</v>
      </c>
      <c r="C21" s="2">
        <v>1.0831770000000001</v>
      </c>
      <c r="D21" s="2">
        <v>1.743868</v>
      </c>
      <c r="E21" s="2">
        <v>2.9365190000000001</v>
      </c>
      <c r="F21" s="2">
        <v>5.7652999999999999</v>
      </c>
      <c r="G21" s="2">
        <v>8.1971000000000002E-2</v>
      </c>
      <c r="H21" s="2">
        <v>6.2966999999999995E-2</v>
      </c>
      <c r="I21" s="2">
        <v>5.7799999999999995E-4</v>
      </c>
      <c r="J21" s="2">
        <v>0</v>
      </c>
      <c r="K21" s="2">
        <v>0</v>
      </c>
      <c r="L21" s="2">
        <v>0.12997</v>
      </c>
      <c r="M21" s="2">
        <v>0.19351399999999999</v>
      </c>
      <c r="N21" s="2">
        <v>6.0449229999999998</v>
      </c>
    </row>
    <row r="22" spans="1:14" x14ac:dyDescent="0.35">
      <c r="A22" s="2" t="s">
        <v>29</v>
      </c>
      <c r="B22" s="3">
        <f t="shared" si="0"/>
        <v>26969</v>
      </c>
      <c r="C22" s="2">
        <v>1.0885899999999999</v>
      </c>
      <c r="D22" s="2">
        <v>1.9450050000000001</v>
      </c>
      <c r="E22" s="2">
        <v>3.0536289999999999</v>
      </c>
      <c r="F22" s="2">
        <v>6.0884400000000003</v>
      </c>
      <c r="G22" s="2">
        <v>8.8773000000000005E-2</v>
      </c>
      <c r="H22" s="2">
        <v>6.9062999999999999E-2</v>
      </c>
      <c r="I22" s="2">
        <v>6.2E-4</v>
      </c>
      <c r="J22" s="2">
        <v>0</v>
      </c>
      <c r="K22" s="2">
        <v>0</v>
      </c>
      <c r="L22" s="2">
        <v>0.125643</v>
      </c>
      <c r="M22" s="2">
        <v>0.195326</v>
      </c>
      <c r="N22" s="2">
        <v>6.3765419999999997</v>
      </c>
    </row>
    <row r="23" spans="1:14" x14ac:dyDescent="0.35">
      <c r="A23" s="2" t="s">
        <v>30</v>
      </c>
      <c r="B23" s="3">
        <f t="shared" si="0"/>
        <v>26999</v>
      </c>
      <c r="C23" s="2">
        <v>1.1686799999999999</v>
      </c>
      <c r="D23" s="2">
        <v>2.2278220000000002</v>
      </c>
      <c r="E23" s="2">
        <v>2.9916659999999999</v>
      </c>
      <c r="F23" s="2">
        <v>6.3885149999999999</v>
      </c>
      <c r="G23" s="2">
        <v>8.7556999999999996E-2</v>
      </c>
      <c r="H23" s="2">
        <v>9.0131000000000003E-2</v>
      </c>
      <c r="I23" s="2">
        <v>8.0000000000000004E-4</v>
      </c>
      <c r="J23" s="2">
        <v>0</v>
      </c>
      <c r="K23" s="2">
        <v>0</v>
      </c>
      <c r="L23" s="2">
        <v>0.12982399999999999</v>
      </c>
      <c r="M23" s="2">
        <v>0.22075500000000001</v>
      </c>
      <c r="N23" s="2">
        <v>6.7009650000000001</v>
      </c>
    </row>
    <row r="24" spans="1:14" x14ac:dyDescent="0.35">
      <c r="A24" s="2" t="s">
        <v>31</v>
      </c>
      <c r="B24" s="3">
        <f t="shared" si="0"/>
        <v>27030</v>
      </c>
      <c r="C24" s="2">
        <v>1.145845</v>
      </c>
      <c r="D24" s="2">
        <v>2.2835200000000002</v>
      </c>
      <c r="E24" s="2">
        <v>2.944909</v>
      </c>
      <c r="F24" s="2">
        <v>6.3780429999999999</v>
      </c>
      <c r="G24" s="2">
        <v>8.4855E-2</v>
      </c>
      <c r="H24" s="2">
        <v>9.9500000000000005E-2</v>
      </c>
      <c r="I24" s="2">
        <v>7.0399999999999998E-4</v>
      </c>
      <c r="J24" s="2">
        <v>0</v>
      </c>
      <c r="K24" s="2">
        <v>0</v>
      </c>
      <c r="L24" s="2">
        <v>0.13080700000000001</v>
      </c>
      <c r="M24" s="2">
        <v>0.23100999999999999</v>
      </c>
      <c r="N24" s="2">
        <v>6.6975860000000003</v>
      </c>
    </row>
    <row r="25" spans="1:14" x14ac:dyDescent="0.35">
      <c r="A25" s="2" t="s">
        <v>32</v>
      </c>
      <c r="B25" s="3">
        <f t="shared" si="0"/>
        <v>27061</v>
      </c>
      <c r="C25" s="2">
        <v>1.0364390000000001</v>
      </c>
      <c r="D25" s="2">
        <v>2.1032959999999998</v>
      </c>
      <c r="E25" s="2">
        <v>2.677772</v>
      </c>
      <c r="F25" s="2">
        <v>5.8204580000000004</v>
      </c>
      <c r="G25" s="2">
        <v>9.0577000000000005E-2</v>
      </c>
      <c r="H25" s="2">
        <v>9.1476000000000002E-2</v>
      </c>
      <c r="I25" s="2">
        <v>6.2100000000000002E-4</v>
      </c>
      <c r="J25" s="2">
        <v>0</v>
      </c>
      <c r="K25" s="2">
        <v>0</v>
      </c>
      <c r="L25" s="2">
        <v>0.118091</v>
      </c>
      <c r="M25" s="2">
        <v>0.21018800000000001</v>
      </c>
      <c r="N25" s="2">
        <v>6.1245459999999996</v>
      </c>
    </row>
    <row r="26" spans="1:14" x14ac:dyDescent="0.35">
      <c r="A26" s="2" t="s">
        <v>33</v>
      </c>
      <c r="B26" s="3">
        <f t="shared" si="0"/>
        <v>27089</v>
      </c>
      <c r="C26" s="2">
        <v>1.0508010000000001</v>
      </c>
      <c r="D26" s="2">
        <v>2.051072</v>
      </c>
      <c r="E26" s="2">
        <v>2.7401049999999998</v>
      </c>
      <c r="F26" s="2">
        <v>5.8456489999999999</v>
      </c>
      <c r="G26" s="2">
        <v>9.7965999999999998E-2</v>
      </c>
      <c r="H26" s="2">
        <v>9.4950000000000007E-2</v>
      </c>
      <c r="I26" s="2">
        <v>7.0699999999999995E-4</v>
      </c>
      <c r="J26" s="2">
        <v>0</v>
      </c>
      <c r="K26" s="2">
        <v>0</v>
      </c>
      <c r="L26" s="2">
        <v>0.13072700000000001</v>
      </c>
      <c r="M26" s="2">
        <v>0.226384</v>
      </c>
      <c r="N26" s="2">
        <v>6.1736769999999996</v>
      </c>
    </row>
    <row r="27" spans="1:14" x14ac:dyDescent="0.35">
      <c r="A27" s="2" t="s">
        <v>34</v>
      </c>
      <c r="B27" s="3">
        <f t="shared" si="0"/>
        <v>27120</v>
      </c>
      <c r="C27" s="2">
        <v>0.99496300000000004</v>
      </c>
      <c r="D27" s="2">
        <v>1.731584</v>
      </c>
      <c r="E27" s="2">
        <v>2.6246559999999999</v>
      </c>
      <c r="F27" s="2">
        <v>5.3556179999999998</v>
      </c>
      <c r="G27" s="2">
        <v>7.9565999999999998E-2</v>
      </c>
      <c r="H27" s="2">
        <v>9.5968999999999999E-2</v>
      </c>
      <c r="I27" s="2">
        <v>6.6600000000000003E-4</v>
      </c>
      <c r="J27" s="2">
        <v>0</v>
      </c>
      <c r="K27" s="2">
        <v>0</v>
      </c>
      <c r="L27" s="2">
        <v>0.126583</v>
      </c>
      <c r="M27" s="2">
        <v>0.223218</v>
      </c>
      <c r="N27" s="2">
        <v>5.6619609999999998</v>
      </c>
    </row>
    <row r="28" spans="1:14" x14ac:dyDescent="0.35">
      <c r="A28" s="2" t="s">
        <v>35</v>
      </c>
      <c r="B28" s="3">
        <f t="shared" si="0"/>
        <v>27150</v>
      </c>
      <c r="C28" s="2">
        <v>1.0291809999999999</v>
      </c>
      <c r="D28" s="2">
        <v>1.6465920000000001</v>
      </c>
      <c r="E28" s="2">
        <v>2.6789749999999999</v>
      </c>
      <c r="F28" s="2">
        <v>5.3599069999999998</v>
      </c>
      <c r="G28" s="2">
        <v>7.3242000000000002E-2</v>
      </c>
      <c r="H28" s="2">
        <v>9.6337000000000006E-2</v>
      </c>
      <c r="I28" s="2">
        <v>6.6699999999999995E-4</v>
      </c>
      <c r="J28" s="2">
        <v>0</v>
      </c>
      <c r="K28" s="2">
        <v>0</v>
      </c>
      <c r="L28" s="2">
        <v>0.13078899999999999</v>
      </c>
      <c r="M28" s="2">
        <v>0.227793</v>
      </c>
      <c r="N28" s="2">
        <v>5.6646200000000002</v>
      </c>
    </row>
    <row r="29" spans="1:14" x14ac:dyDescent="0.35">
      <c r="A29" s="2" t="s">
        <v>36</v>
      </c>
      <c r="B29" s="3">
        <f t="shared" si="0"/>
        <v>27181</v>
      </c>
      <c r="C29" s="2">
        <v>1.0144329999999999</v>
      </c>
      <c r="D29" s="2">
        <v>1.473536</v>
      </c>
      <c r="E29" s="2">
        <v>2.6590500000000001</v>
      </c>
      <c r="F29" s="2">
        <v>5.1503920000000001</v>
      </c>
      <c r="G29" s="2">
        <v>7.9015000000000002E-2</v>
      </c>
      <c r="H29" s="2">
        <v>9.1718999999999995E-2</v>
      </c>
      <c r="I29" s="2">
        <v>6.4499999999999996E-4</v>
      </c>
      <c r="J29" s="2">
        <v>0</v>
      </c>
      <c r="K29" s="2">
        <v>0</v>
      </c>
      <c r="L29" s="2">
        <v>0.126611</v>
      </c>
      <c r="M29" s="2">
        <v>0.218976</v>
      </c>
      <c r="N29" s="2">
        <v>5.451943</v>
      </c>
    </row>
    <row r="30" spans="1:14" x14ac:dyDescent="0.35">
      <c r="A30" s="2" t="s">
        <v>37</v>
      </c>
      <c r="B30" s="3">
        <f t="shared" si="0"/>
        <v>27211</v>
      </c>
      <c r="C30" s="2">
        <v>1.110438</v>
      </c>
      <c r="D30" s="2">
        <v>1.5503359999999999</v>
      </c>
      <c r="E30" s="2">
        <v>2.7936580000000002</v>
      </c>
      <c r="F30" s="2">
        <v>5.4580029999999997</v>
      </c>
      <c r="G30" s="2">
        <v>0.113953</v>
      </c>
      <c r="H30" s="2">
        <v>9.0437000000000003E-2</v>
      </c>
      <c r="I30" s="2">
        <v>7.1599999999999995E-4</v>
      </c>
      <c r="J30" s="2">
        <v>0</v>
      </c>
      <c r="K30" s="2">
        <v>0</v>
      </c>
      <c r="L30" s="2">
        <v>0.13075600000000001</v>
      </c>
      <c r="M30" s="2">
        <v>0.221909</v>
      </c>
      <c r="N30" s="2">
        <v>5.7975440000000003</v>
      </c>
    </row>
    <row r="31" spans="1:14" x14ac:dyDescent="0.35">
      <c r="A31" s="2" t="s">
        <v>38</v>
      </c>
      <c r="B31" s="3">
        <f t="shared" si="0"/>
        <v>27242</v>
      </c>
      <c r="C31" s="2">
        <v>1.1125590000000001</v>
      </c>
      <c r="D31" s="2">
        <v>1.5462400000000001</v>
      </c>
      <c r="E31" s="2">
        <v>2.8254260000000002</v>
      </c>
      <c r="F31" s="2">
        <v>5.4880690000000003</v>
      </c>
      <c r="G31" s="2">
        <v>0.137654</v>
      </c>
      <c r="H31" s="2">
        <v>8.2726999999999995E-2</v>
      </c>
      <c r="I31" s="2">
        <v>7.0699999999999995E-4</v>
      </c>
      <c r="J31" s="2">
        <v>0</v>
      </c>
      <c r="K31" s="2">
        <v>0</v>
      </c>
      <c r="L31" s="2">
        <v>0.13076299999999999</v>
      </c>
      <c r="M31" s="2">
        <v>0.214197</v>
      </c>
      <c r="N31" s="2">
        <v>5.8435980000000001</v>
      </c>
    </row>
    <row r="32" spans="1:14" x14ac:dyDescent="0.35">
      <c r="A32" s="2" t="s">
        <v>39</v>
      </c>
      <c r="B32" s="3">
        <f t="shared" si="0"/>
        <v>27273</v>
      </c>
      <c r="C32" s="2">
        <v>1.0055080000000001</v>
      </c>
      <c r="D32" s="2">
        <v>1.573888</v>
      </c>
      <c r="E32" s="2">
        <v>2.64493</v>
      </c>
      <c r="F32" s="2">
        <v>5.2308479999999999</v>
      </c>
      <c r="G32" s="2">
        <v>0.12288</v>
      </c>
      <c r="H32" s="2">
        <v>7.3609999999999995E-2</v>
      </c>
      <c r="I32" s="2">
        <v>6.5300000000000004E-4</v>
      </c>
      <c r="J32" s="2">
        <v>0</v>
      </c>
      <c r="K32" s="2">
        <v>0</v>
      </c>
      <c r="L32" s="2">
        <v>0.126637</v>
      </c>
      <c r="M32" s="2">
        <v>0.2009</v>
      </c>
      <c r="N32" s="2">
        <v>5.5581880000000004</v>
      </c>
    </row>
    <row r="33" spans="1:14" x14ac:dyDescent="0.35">
      <c r="A33" s="2" t="s">
        <v>40</v>
      </c>
      <c r="B33" s="3">
        <f t="shared" si="0"/>
        <v>27303</v>
      </c>
      <c r="C33" s="2">
        <v>1.0517369999999999</v>
      </c>
      <c r="D33" s="2">
        <v>1.7469440000000001</v>
      </c>
      <c r="E33" s="2">
        <v>2.9056320000000002</v>
      </c>
      <c r="F33" s="2">
        <v>5.7133890000000003</v>
      </c>
      <c r="G33" s="2">
        <v>0.12124799999999999</v>
      </c>
      <c r="H33" s="2">
        <v>6.8931000000000006E-2</v>
      </c>
      <c r="I33" s="2">
        <v>6.6299999999999996E-4</v>
      </c>
      <c r="J33" s="2">
        <v>0</v>
      </c>
      <c r="K33" s="2">
        <v>0</v>
      </c>
      <c r="L33" s="2">
        <v>0.130718</v>
      </c>
      <c r="M33" s="2">
        <v>0.20031199999999999</v>
      </c>
      <c r="N33" s="2">
        <v>6.0386280000000001</v>
      </c>
    </row>
    <row r="34" spans="1:14" x14ac:dyDescent="0.35">
      <c r="A34" s="2" t="s">
        <v>41</v>
      </c>
      <c r="B34" s="3">
        <f t="shared" si="0"/>
        <v>27334</v>
      </c>
      <c r="C34" s="2">
        <v>1.0220210000000001</v>
      </c>
      <c r="D34" s="2">
        <v>1.8708480000000001</v>
      </c>
      <c r="E34" s="2">
        <v>2.8598050000000002</v>
      </c>
      <c r="F34" s="2">
        <v>5.7575349999999998</v>
      </c>
      <c r="G34" s="2">
        <v>0.122819</v>
      </c>
      <c r="H34" s="2">
        <v>7.2773000000000004E-2</v>
      </c>
      <c r="I34" s="2">
        <v>7.8899999999999999E-4</v>
      </c>
      <c r="J34" s="2">
        <v>0</v>
      </c>
      <c r="K34" s="2">
        <v>0</v>
      </c>
      <c r="L34" s="2">
        <v>0.12650600000000001</v>
      </c>
      <c r="M34" s="2">
        <v>0.200068</v>
      </c>
      <c r="N34" s="2">
        <v>6.0839819999999998</v>
      </c>
    </row>
    <row r="35" spans="1:14" x14ac:dyDescent="0.35">
      <c r="A35" s="2" t="s">
        <v>42</v>
      </c>
      <c r="B35" s="3">
        <f t="shared" si="0"/>
        <v>27364</v>
      </c>
      <c r="C35" s="2">
        <v>1.088954</v>
      </c>
      <c r="D35" s="2">
        <v>2.154496</v>
      </c>
      <c r="E35" s="2">
        <v>3.0656940000000001</v>
      </c>
      <c r="F35" s="2">
        <v>6.3140289999999997</v>
      </c>
      <c r="G35" s="2">
        <v>0.148309</v>
      </c>
      <c r="H35" s="2">
        <v>7.9542000000000002E-2</v>
      </c>
      <c r="I35" s="2">
        <v>8.3000000000000001E-4</v>
      </c>
      <c r="J35" s="2">
        <v>0</v>
      </c>
      <c r="K35" s="2">
        <v>0</v>
      </c>
      <c r="L35" s="2">
        <v>0.13067400000000001</v>
      </c>
      <c r="M35" s="2">
        <v>0.21104600000000001</v>
      </c>
      <c r="N35" s="2">
        <v>6.6770620000000003</v>
      </c>
    </row>
    <row r="36" spans="1:14" x14ac:dyDescent="0.35">
      <c r="A36" s="2" t="s">
        <v>43</v>
      </c>
      <c r="B36" s="3">
        <f t="shared" si="0"/>
        <v>27395</v>
      </c>
      <c r="C36" s="2">
        <v>1.1316580000000001</v>
      </c>
      <c r="D36" s="2">
        <v>2.2952080000000001</v>
      </c>
      <c r="E36" s="2">
        <v>3.0726930000000001</v>
      </c>
      <c r="F36" s="2">
        <v>6.5080660000000004</v>
      </c>
      <c r="G36" s="2">
        <v>0.153503</v>
      </c>
      <c r="H36" s="2">
        <v>8.6356000000000002E-2</v>
      </c>
      <c r="I36" s="2">
        <v>6.9399999999999996E-4</v>
      </c>
      <c r="J36" s="2">
        <v>0</v>
      </c>
      <c r="K36" s="2">
        <v>0</v>
      </c>
      <c r="L36" s="2">
        <v>0.12726899999999999</v>
      </c>
      <c r="M36" s="2">
        <v>0.21431900000000001</v>
      </c>
      <c r="N36" s="2">
        <v>6.8776799999999998</v>
      </c>
    </row>
    <row r="37" spans="1:14" x14ac:dyDescent="0.35">
      <c r="A37" s="2" t="s">
        <v>44</v>
      </c>
      <c r="B37" s="3">
        <f t="shared" si="0"/>
        <v>27426</v>
      </c>
      <c r="C37" s="2">
        <v>1.0388170000000001</v>
      </c>
      <c r="D37" s="2">
        <v>1.979719</v>
      </c>
      <c r="E37" s="2">
        <v>2.632196</v>
      </c>
      <c r="F37" s="2">
        <v>5.6588659999999997</v>
      </c>
      <c r="G37" s="2">
        <v>0.140232</v>
      </c>
      <c r="H37" s="2">
        <v>8.2404000000000005E-2</v>
      </c>
      <c r="I37" s="2">
        <v>6.6200000000000005E-4</v>
      </c>
      <c r="J37" s="2">
        <v>0</v>
      </c>
      <c r="K37" s="2">
        <v>0</v>
      </c>
      <c r="L37" s="2">
        <v>0.114942</v>
      </c>
      <c r="M37" s="2">
        <v>0.19800799999999999</v>
      </c>
      <c r="N37" s="2">
        <v>5.9987250000000003</v>
      </c>
    </row>
    <row r="38" spans="1:14" x14ac:dyDescent="0.35">
      <c r="A38" s="2" t="s">
        <v>45</v>
      </c>
      <c r="B38" s="3">
        <f t="shared" si="0"/>
        <v>27454</v>
      </c>
      <c r="C38" s="2">
        <v>1.0720080000000001</v>
      </c>
      <c r="D38" s="2">
        <v>1.942963</v>
      </c>
      <c r="E38" s="2">
        <v>2.7767810000000002</v>
      </c>
      <c r="F38" s="2">
        <v>5.7943069999999999</v>
      </c>
      <c r="G38" s="2">
        <v>0.16389300000000001</v>
      </c>
      <c r="H38" s="2">
        <v>9.6385999999999999E-2</v>
      </c>
      <c r="I38" s="2">
        <v>7.4700000000000005E-4</v>
      </c>
      <c r="J38" s="2">
        <v>0</v>
      </c>
      <c r="K38" s="2">
        <v>0</v>
      </c>
      <c r="L38" s="2">
        <v>0.127251</v>
      </c>
      <c r="M38" s="2">
        <v>0.224384</v>
      </c>
      <c r="N38" s="2">
        <v>6.1843760000000003</v>
      </c>
    </row>
    <row r="39" spans="1:14" x14ac:dyDescent="0.35">
      <c r="A39" s="2" t="s">
        <v>46</v>
      </c>
      <c r="B39" s="3">
        <f t="shared" si="0"/>
        <v>27485</v>
      </c>
      <c r="C39" s="2">
        <v>0.99643199999999998</v>
      </c>
      <c r="D39" s="2">
        <v>1.6080749999999999</v>
      </c>
      <c r="E39" s="2">
        <v>2.6397059999999999</v>
      </c>
      <c r="F39" s="2">
        <v>5.2440389999999999</v>
      </c>
      <c r="G39" s="2">
        <v>0.14677299999999999</v>
      </c>
      <c r="H39" s="2">
        <v>9.1790999999999998E-2</v>
      </c>
      <c r="I39" s="2">
        <v>7.4799999999999997E-4</v>
      </c>
      <c r="J39" s="2">
        <v>0</v>
      </c>
      <c r="K39" s="2">
        <v>0</v>
      </c>
      <c r="L39" s="2">
        <v>0.123139</v>
      </c>
      <c r="M39" s="2">
        <v>0.21567900000000001</v>
      </c>
      <c r="N39" s="2">
        <v>5.608225</v>
      </c>
    </row>
    <row r="40" spans="1:14" x14ac:dyDescent="0.35">
      <c r="A40" s="2" t="s">
        <v>47</v>
      </c>
      <c r="B40" s="3">
        <f t="shared" si="0"/>
        <v>27515</v>
      </c>
      <c r="C40" s="2">
        <v>0.97664300000000004</v>
      </c>
      <c r="D40" s="2">
        <v>1.358951</v>
      </c>
      <c r="E40" s="2">
        <v>2.5788630000000001</v>
      </c>
      <c r="F40" s="2">
        <v>4.9170109999999996</v>
      </c>
      <c r="G40" s="2">
        <v>0.15157999999999999</v>
      </c>
      <c r="H40" s="2">
        <v>9.5580999999999999E-2</v>
      </c>
      <c r="I40" s="2">
        <v>8.12E-4</v>
      </c>
      <c r="J40" s="2">
        <v>0</v>
      </c>
      <c r="K40" s="2">
        <v>0</v>
      </c>
      <c r="L40" s="2">
        <v>0.127303</v>
      </c>
      <c r="M40" s="2">
        <v>0.223695</v>
      </c>
      <c r="N40" s="2">
        <v>5.294079</v>
      </c>
    </row>
    <row r="41" spans="1:14" x14ac:dyDescent="0.35">
      <c r="A41" s="2" t="s">
        <v>48</v>
      </c>
      <c r="B41" s="3">
        <f t="shared" si="0"/>
        <v>27546</v>
      </c>
      <c r="C41" s="2">
        <v>1.0219480000000001</v>
      </c>
      <c r="D41" s="2">
        <v>1.2833969999999999</v>
      </c>
      <c r="E41" s="2">
        <v>2.5782400000000001</v>
      </c>
      <c r="F41" s="2">
        <v>4.8819229999999996</v>
      </c>
      <c r="G41" s="2">
        <v>0.140348</v>
      </c>
      <c r="H41" s="2">
        <v>9.3549999999999994E-2</v>
      </c>
      <c r="I41" s="2">
        <v>1.0070000000000001E-3</v>
      </c>
      <c r="J41" s="2">
        <v>0</v>
      </c>
      <c r="K41" s="2">
        <v>0</v>
      </c>
      <c r="L41" s="2">
        <v>0.123241</v>
      </c>
      <c r="M41" s="2">
        <v>0.21779799999999999</v>
      </c>
      <c r="N41" s="2">
        <v>5.241803</v>
      </c>
    </row>
    <row r="42" spans="1:14" x14ac:dyDescent="0.35">
      <c r="A42" s="2" t="s">
        <v>49</v>
      </c>
      <c r="B42" s="3">
        <f t="shared" si="0"/>
        <v>27576</v>
      </c>
      <c r="C42" s="2">
        <v>1.0817019999999999</v>
      </c>
      <c r="D42" s="2">
        <v>1.340573</v>
      </c>
      <c r="E42" s="2">
        <v>2.6784029999999999</v>
      </c>
      <c r="F42" s="2">
        <v>5.0995609999999996</v>
      </c>
      <c r="G42" s="2">
        <v>0.169294</v>
      </c>
      <c r="H42" s="2">
        <v>8.7900000000000006E-2</v>
      </c>
      <c r="I42" s="2">
        <v>1.013E-3</v>
      </c>
      <c r="J42" s="2">
        <v>0</v>
      </c>
      <c r="K42" s="2">
        <v>0</v>
      </c>
      <c r="L42" s="2">
        <v>0.12728800000000001</v>
      </c>
      <c r="M42" s="2">
        <v>0.21620200000000001</v>
      </c>
      <c r="N42" s="2">
        <v>5.4868490000000003</v>
      </c>
    </row>
    <row r="43" spans="1:14" x14ac:dyDescent="0.35">
      <c r="A43" s="2" t="s">
        <v>50</v>
      </c>
      <c r="B43" s="3">
        <f t="shared" si="0"/>
        <v>27607</v>
      </c>
      <c r="C43" s="2">
        <v>1.116476</v>
      </c>
      <c r="D43" s="2">
        <v>1.3977489999999999</v>
      </c>
      <c r="E43" s="2">
        <v>2.6870479999999999</v>
      </c>
      <c r="F43" s="2">
        <v>5.1994129999999998</v>
      </c>
      <c r="G43" s="2">
        <v>0.17488300000000001</v>
      </c>
      <c r="H43" s="2">
        <v>7.7892000000000003E-2</v>
      </c>
      <c r="I43" s="2">
        <v>1.0989999999999999E-3</v>
      </c>
      <c r="J43" s="2">
        <v>0</v>
      </c>
      <c r="K43" s="2">
        <v>0</v>
      </c>
      <c r="L43" s="2">
        <v>0.12732099999999999</v>
      </c>
      <c r="M43" s="2">
        <v>0.206312</v>
      </c>
      <c r="N43" s="2">
        <v>5.5823999999999998</v>
      </c>
    </row>
    <row r="44" spans="1:14" x14ac:dyDescent="0.35">
      <c r="A44" s="2" t="s">
        <v>51</v>
      </c>
      <c r="B44" s="3">
        <f t="shared" si="0"/>
        <v>27638</v>
      </c>
      <c r="C44" s="2">
        <v>1.00335</v>
      </c>
      <c r="D44" s="2">
        <v>1.3987700000000001</v>
      </c>
      <c r="E44" s="2">
        <v>2.5967410000000002</v>
      </c>
      <c r="F44" s="2">
        <v>4.9961580000000003</v>
      </c>
      <c r="G44" s="2">
        <v>0.15854299999999999</v>
      </c>
      <c r="H44" s="2">
        <v>7.0755999999999999E-2</v>
      </c>
      <c r="I44" s="2">
        <v>9.6900000000000003E-4</v>
      </c>
      <c r="J44" s="2">
        <v>0</v>
      </c>
      <c r="K44" s="2">
        <v>0</v>
      </c>
      <c r="L44" s="2">
        <v>0.12321</v>
      </c>
      <c r="M44" s="2">
        <v>0.194934</v>
      </c>
      <c r="N44" s="2">
        <v>5.3513700000000002</v>
      </c>
    </row>
    <row r="45" spans="1:14" x14ac:dyDescent="0.35">
      <c r="A45" s="2" t="s">
        <v>52</v>
      </c>
      <c r="B45" s="3">
        <f t="shared" si="0"/>
        <v>27668</v>
      </c>
      <c r="C45" s="2">
        <v>1.0208889999999999</v>
      </c>
      <c r="D45" s="2">
        <v>1.576424</v>
      </c>
      <c r="E45" s="2">
        <v>2.781396</v>
      </c>
      <c r="F45" s="2">
        <v>5.3770480000000003</v>
      </c>
      <c r="G45" s="2">
        <v>0.161078</v>
      </c>
      <c r="H45" s="2">
        <v>7.8060000000000004E-2</v>
      </c>
      <c r="I45" s="2">
        <v>1.1169999999999999E-3</v>
      </c>
      <c r="J45" s="2">
        <v>0</v>
      </c>
      <c r="K45" s="2">
        <v>0</v>
      </c>
      <c r="L45" s="2">
        <v>0.12731200000000001</v>
      </c>
      <c r="M45" s="2">
        <v>0.20648900000000001</v>
      </c>
      <c r="N45" s="2">
        <v>5.7464069999999996</v>
      </c>
    </row>
    <row r="46" spans="1:14" x14ac:dyDescent="0.35">
      <c r="A46" s="2" t="s">
        <v>53</v>
      </c>
      <c r="B46" s="3">
        <f t="shared" si="0"/>
        <v>27699</v>
      </c>
      <c r="C46" s="2">
        <v>1.0441290000000001</v>
      </c>
      <c r="D46" s="2">
        <v>1.6744399999999999</v>
      </c>
      <c r="E46" s="2">
        <v>2.5904020000000001</v>
      </c>
      <c r="F46" s="2">
        <v>5.3094919999999997</v>
      </c>
      <c r="G46" s="2">
        <v>0.15598799999999999</v>
      </c>
      <c r="H46" s="2">
        <v>8.4170999999999996E-2</v>
      </c>
      <c r="I46" s="2">
        <v>1.085E-3</v>
      </c>
      <c r="J46" s="2">
        <v>0</v>
      </c>
      <c r="K46" s="2">
        <v>0</v>
      </c>
      <c r="L46" s="2">
        <v>0.12318</v>
      </c>
      <c r="M46" s="2">
        <v>0.20843600000000001</v>
      </c>
      <c r="N46" s="2">
        <v>5.6756510000000002</v>
      </c>
    </row>
    <row r="47" spans="1:14" x14ac:dyDescent="0.35">
      <c r="A47" s="2" t="s">
        <v>54</v>
      </c>
      <c r="B47" s="3">
        <f t="shared" si="0"/>
        <v>27729</v>
      </c>
      <c r="C47" s="2">
        <v>1.1587339999999999</v>
      </c>
      <c r="D47" s="2">
        <v>2.0920290000000001</v>
      </c>
      <c r="E47" s="2">
        <v>3.0863119999999999</v>
      </c>
      <c r="F47" s="2">
        <v>6.3375209999999997</v>
      </c>
      <c r="G47" s="2">
        <v>0.18368200000000001</v>
      </c>
      <c r="H47" s="2">
        <v>8.9510000000000006E-2</v>
      </c>
      <c r="I47" s="2">
        <v>1.124E-3</v>
      </c>
      <c r="J47" s="2">
        <v>0</v>
      </c>
      <c r="K47" s="2">
        <v>0</v>
      </c>
      <c r="L47" s="2">
        <v>0.127277</v>
      </c>
      <c r="M47" s="2">
        <v>0.21791099999999999</v>
      </c>
      <c r="N47" s="2">
        <v>6.740907</v>
      </c>
    </row>
    <row r="48" spans="1:14" x14ac:dyDescent="0.35">
      <c r="A48" s="2" t="s">
        <v>55</v>
      </c>
      <c r="B48" s="3">
        <f t="shared" si="0"/>
        <v>27760</v>
      </c>
      <c r="C48" s="2">
        <v>1.201363</v>
      </c>
      <c r="D48" s="2">
        <v>2.3368199999999999</v>
      </c>
      <c r="E48" s="2">
        <v>3.1730499999999999</v>
      </c>
      <c r="F48" s="2">
        <v>6.710216</v>
      </c>
      <c r="G48" s="2">
        <v>0.177844</v>
      </c>
      <c r="H48" s="2">
        <v>8.9903999999999998E-2</v>
      </c>
      <c r="I48" s="2">
        <v>1.119E-3</v>
      </c>
      <c r="J48" s="2">
        <v>0</v>
      </c>
      <c r="K48" s="2">
        <v>0</v>
      </c>
      <c r="L48" s="2">
        <v>0.14504900000000001</v>
      </c>
      <c r="M48" s="2">
        <v>0.23607300000000001</v>
      </c>
      <c r="N48" s="2">
        <v>7.1266220000000002</v>
      </c>
    </row>
    <row r="49" spans="1:14" x14ac:dyDescent="0.35">
      <c r="A49" s="2" t="s">
        <v>56</v>
      </c>
      <c r="B49" s="3">
        <f t="shared" si="0"/>
        <v>27791</v>
      </c>
      <c r="C49" s="2">
        <v>1.0635570000000001</v>
      </c>
      <c r="D49" s="2">
        <v>1.9767600000000001</v>
      </c>
      <c r="E49" s="2">
        <v>2.7975219999999998</v>
      </c>
      <c r="F49" s="2">
        <v>5.8361280000000004</v>
      </c>
      <c r="G49" s="2">
        <v>0.15882399999999999</v>
      </c>
      <c r="H49" s="2">
        <v>8.4626000000000007E-2</v>
      </c>
      <c r="I49" s="2">
        <v>1.0529999999999999E-3</v>
      </c>
      <c r="J49" s="2">
        <v>0</v>
      </c>
      <c r="K49" s="2">
        <v>0</v>
      </c>
      <c r="L49" s="2">
        <v>0.13569500000000001</v>
      </c>
      <c r="M49" s="2">
        <v>0.22137399999999999</v>
      </c>
      <c r="N49" s="2">
        <v>6.2186539999999999</v>
      </c>
    </row>
    <row r="50" spans="1:14" x14ac:dyDescent="0.35">
      <c r="A50" s="2" t="s">
        <v>57</v>
      </c>
      <c r="B50" s="3">
        <f t="shared" si="0"/>
        <v>27820</v>
      </c>
      <c r="C50" s="2">
        <v>1.1035470000000001</v>
      </c>
      <c r="D50" s="2">
        <v>1.75542</v>
      </c>
      <c r="E50" s="2">
        <v>2.9504389999999998</v>
      </c>
      <c r="F50" s="2">
        <v>5.8075210000000004</v>
      </c>
      <c r="G50" s="2">
        <v>0.15458</v>
      </c>
      <c r="H50" s="2">
        <v>9.1629000000000002E-2</v>
      </c>
      <c r="I50" s="2">
        <v>1.127E-3</v>
      </c>
      <c r="J50" s="2">
        <v>0</v>
      </c>
      <c r="K50" s="2">
        <v>0</v>
      </c>
      <c r="L50" s="2">
        <v>0.14505100000000001</v>
      </c>
      <c r="M50" s="2">
        <v>0.23780699999999999</v>
      </c>
      <c r="N50" s="2">
        <v>6.2023960000000002</v>
      </c>
    </row>
    <row r="51" spans="1:14" x14ac:dyDescent="0.35">
      <c r="A51" s="2" t="s">
        <v>58</v>
      </c>
      <c r="B51" s="3">
        <f t="shared" si="0"/>
        <v>27851</v>
      </c>
      <c r="C51" s="2">
        <v>1.0540290000000001</v>
      </c>
      <c r="D51" s="2">
        <v>1.53816</v>
      </c>
      <c r="E51" s="2">
        <v>2.7448060000000001</v>
      </c>
      <c r="F51" s="2">
        <v>5.3346640000000001</v>
      </c>
      <c r="G51" s="2">
        <v>0.12131599999999999</v>
      </c>
      <c r="H51" s="2">
        <v>8.3377999999999994E-2</v>
      </c>
      <c r="I51" s="2">
        <v>1.0150000000000001E-3</v>
      </c>
      <c r="J51" s="2">
        <v>0</v>
      </c>
      <c r="K51" s="2">
        <v>0</v>
      </c>
      <c r="L51" s="2">
        <v>0.14036299999999999</v>
      </c>
      <c r="M51" s="2">
        <v>0.22475600000000001</v>
      </c>
      <c r="N51" s="2">
        <v>5.6831449999999997</v>
      </c>
    </row>
    <row r="52" spans="1:14" x14ac:dyDescent="0.35">
      <c r="A52" s="2" t="s">
        <v>59</v>
      </c>
      <c r="B52" s="3">
        <f t="shared" si="0"/>
        <v>27881</v>
      </c>
      <c r="C52" s="2">
        <v>1.060057</v>
      </c>
      <c r="D52" s="2">
        <v>1.46268</v>
      </c>
      <c r="E52" s="2">
        <v>2.7232880000000002</v>
      </c>
      <c r="F52" s="2">
        <v>5.243322</v>
      </c>
      <c r="G52" s="2">
        <v>0.13178400000000001</v>
      </c>
      <c r="H52" s="2">
        <v>8.8065000000000004E-2</v>
      </c>
      <c r="I52" s="2">
        <v>9.7000000000000005E-4</v>
      </c>
      <c r="J52" s="2">
        <v>0</v>
      </c>
      <c r="K52" s="2">
        <v>0</v>
      </c>
      <c r="L52" s="2">
        <v>0.14504700000000001</v>
      </c>
      <c r="M52" s="2">
        <v>0.23408200000000001</v>
      </c>
      <c r="N52" s="2">
        <v>5.6116770000000002</v>
      </c>
    </row>
    <row r="53" spans="1:14" x14ac:dyDescent="0.35">
      <c r="A53" s="2" t="s">
        <v>60</v>
      </c>
      <c r="B53" s="3">
        <f t="shared" si="0"/>
        <v>27912</v>
      </c>
      <c r="C53" s="2">
        <v>1.0988199999999999</v>
      </c>
      <c r="D53" s="2">
        <v>1.3616999999999999</v>
      </c>
      <c r="E53" s="2">
        <v>2.7776489999999998</v>
      </c>
      <c r="F53" s="2">
        <v>5.2365079999999997</v>
      </c>
      <c r="G53" s="2">
        <v>0.174072</v>
      </c>
      <c r="H53" s="2">
        <v>8.8181999999999996E-2</v>
      </c>
      <c r="I53" s="2">
        <v>1.008E-3</v>
      </c>
      <c r="J53" s="2">
        <v>0</v>
      </c>
      <c r="K53" s="2">
        <v>0</v>
      </c>
      <c r="L53" s="2">
        <v>0.140405</v>
      </c>
      <c r="M53" s="2">
        <v>0.22959499999999999</v>
      </c>
      <c r="N53" s="2">
        <v>5.6425830000000001</v>
      </c>
    </row>
    <row r="54" spans="1:14" x14ac:dyDescent="0.35">
      <c r="A54" s="2" t="s">
        <v>61</v>
      </c>
      <c r="B54" s="3">
        <f t="shared" si="0"/>
        <v>27942</v>
      </c>
      <c r="C54" s="2">
        <v>1.1711130000000001</v>
      </c>
      <c r="D54" s="2">
        <v>1.39944</v>
      </c>
      <c r="E54" s="2">
        <v>2.8347850000000001</v>
      </c>
      <c r="F54" s="2">
        <v>5.4051400000000003</v>
      </c>
      <c r="G54" s="2">
        <v>0.195628</v>
      </c>
      <c r="H54" s="2">
        <v>8.9806999999999998E-2</v>
      </c>
      <c r="I54" s="2">
        <v>1.0889999999999999E-3</v>
      </c>
      <c r="J54" s="2">
        <v>0</v>
      </c>
      <c r="K54" s="2">
        <v>0</v>
      </c>
      <c r="L54" s="2">
        <v>0.14508799999999999</v>
      </c>
      <c r="M54" s="2">
        <v>0.235984</v>
      </c>
      <c r="N54" s="2">
        <v>5.8392400000000002</v>
      </c>
    </row>
    <row r="55" spans="1:14" x14ac:dyDescent="0.35">
      <c r="A55" s="2" t="s">
        <v>62</v>
      </c>
      <c r="B55" s="3">
        <f t="shared" si="0"/>
        <v>27973</v>
      </c>
      <c r="C55" s="2">
        <v>1.17987</v>
      </c>
      <c r="D55" s="2">
        <v>1.34334</v>
      </c>
      <c r="E55" s="2">
        <v>2.8425590000000001</v>
      </c>
      <c r="F55" s="2">
        <v>5.3672560000000002</v>
      </c>
      <c r="G55" s="2">
        <v>0.202851</v>
      </c>
      <c r="H55" s="2">
        <v>8.2153000000000004E-2</v>
      </c>
      <c r="I55" s="2">
        <v>1.072E-3</v>
      </c>
      <c r="J55" s="2">
        <v>0</v>
      </c>
      <c r="K55" s="2">
        <v>0</v>
      </c>
      <c r="L55" s="2">
        <v>0.14510999999999999</v>
      </c>
      <c r="M55" s="2">
        <v>0.22833600000000001</v>
      </c>
      <c r="N55" s="2">
        <v>5.8009320000000004</v>
      </c>
    </row>
    <row r="56" spans="1:14" x14ac:dyDescent="0.35">
      <c r="A56" s="2" t="s">
        <v>63</v>
      </c>
      <c r="B56" s="3">
        <f t="shared" si="0"/>
        <v>28004</v>
      </c>
      <c r="C56" s="2">
        <v>1.081958</v>
      </c>
      <c r="D56" s="2">
        <v>1.3280400000000001</v>
      </c>
      <c r="E56" s="2">
        <v>2.778502</v>
      </c>
      <c r="F56" s="2">
        <v>5.18912</v>
      </c>
      <c r="G56" s="2">
        <v>0.19100600000000001</v>
      </c>
      <c r="H56" s="2">
        <v>7.0185999999999998E-2</v>
      </c>
      <c r="I56" s="2">
        <v>1.044E-3</v>
      </c>
      <c r="J56" s="2">
        <v>0</v>
      </c>
      <c r="K56" s="2">
        <v>0</v>
      </c>
      <c r="L56" s="2">
        <v>0.14043600000000001</v>
      </c>
      <c r="M56" s="2">
        <v>0.21166499999999999</v>
      </c>
      <c r="N56" s="2">
        <v>5.5941989999999997</v>
      </c>
    </row>
    <row r="57" spans="1:14" x14ac:dyDescent="0.35">
      <c r="A57" s="2" t="s">
        <v>64</v>
      </c>
      <c r="B57" s="3">
        <f t="shared" si="0"/>
        <v>28034</v>
      </c>
      <c r="C57" s="2">
        <v>1.1194120000000001</v>
      </c>
      <c r="D57" s="2">
        <v>1.6534199999999999</v>
      </c>
      <c r="E57" s="2">
        <v>2.902739</v>
      </c>
      <c r="F57" s="2">
        <v>5.6812009999999997</v>
      </c>
      <c r="G57" s="2">
        <v>0.191723</v>
      </c>
      <c r="H57" s="2">
        <v>7.2690000000000005E-2</v>
      </c>
      <c r="I57" s="2">
        <v>1.0139999999999999E-3</v>
      </c>
      <c r="J57" s="2">
        <v>0</v>
      </c>
      <c r="K57" s="2">
        <v>0</v>
      </c>
      <c r="L57" s="2">
        <v>0.14511399999999999</v>
      </c>
      <c r="M57" s="2">
        <v>0.21881800000000001</v>
      </c>
      <c r="N57" s="2">
        <v>6.0942299999999996</v>
      </c>
    </row>
    <row r="58" spans="1:14" x14ac:dyDescent="0.35">
      <c r="A58" s="2" t="s">
        <v>65</v>
      </c>
      <c r="B58" s="3">
        <f t="shared" si="0"/>
        <v>28065</v>
      </c>
      <c r="C58" s="2">
        <v>1.176231</v>
      </c>
      <c r="D58" s="2">
        <v>1.9125000000000001</v>
      </c>
      <c r="E58" s="2">
        <v>3.1078760000000001</v>
      </c>
      <c r="F58" s="2">
        <v>6.1978970000000002</v>
      </c>
      <c r="G58" s="2">
        <v>0.178235</v>
      </c>
      <c r="H58" s="2">
        <v>6.8462999999999996E-2</v>
      </c>
      <c r="I58" s="2">
        <v>8.5400000000000005E-4</v>
      </c>
      <c r="J58" s="2">
        <v>0</v>
      </c>
      <c r="K58" s="2">
        <v>0</v>
      </c>
      <c r="L58" s="2">
        <v>0.140651</v>
      </c>
      <c r="M58" s="2">
        <v>0.20996799999999999</v>
      </c>
      <c r="N58" s="2">
        <v>6.588508</v>
      </c>
    </row>
    <row r="59" spans="1:14" x14ac:dyDescent="0.35">
      <c r="A59" s="2" t="s">
        <v>66</v>
      </c>
      <c r="B59" s="3">
        <f t="shared" si="0"/>
        <v>28095</v>
      </c>
      <c r="C59" s="2">
        <v>1.2741100000000001</v>
      </c>
      <c r="D59" s="2">
        <v>2.27664</v>
      </c>
      <c r="E59" s="2">
        <v>3.5087700000000002</v>
      </c>
      <c r="F59" s="2">
        <v>7.0618999999999996</v>
      </c>
      <c r="G59" s="2">
        <v>0.23325599999999999</v>
      </c>
      <c r="H59" s="2">
        <v>6.9900000000000004E-2</v>
      </c>
      <c r="I59" s="2">
        <v>9.7499999999999996E-4</v>
      </c>
      <c r="J59" s="2">
        <v>0</v>
      </c>
      <c r="K59" s="2">
        <v>0</v>
      </c>
      <c r="L59" s="2">
        <v>0.14536399999999999</v>
      </c>
      <c r="M59" s="2">
        <v>0.21623899999999999</v>
      </c>
      <c r="N59" s="2">
        <v>7.513884</v>
      </c>
    </row>
    <row r="60" spans="1:14" x14ac:dyDescent="0.35">
      <c r="A60" s="2" t="s">
        <v>67</v>
      </c>
      <c r="B60" s="3">
        <f t="shared" si="0"/>
        <v>28126</v>
      </c>
      <c r="C60" s="2">
        <v>1.2664329999999999</v>
      </c>
      <c r="D60" s="2">
        <v>2.4575469999999999</v>
      </c>
      <c r="E60" s="2">
        <v>3.507984</v>
      </c>
      <c r="F60" s="2">
        <v>7.2303269999999999</v>
      </c>
      <c r="G60" s="2">
        <v>0.23855599999999999</v>
      </c>
      <c r="H60" s="2">
        <v>7.1629999999999999E-2</v>
      </c>
      <c r="I60" s="2">
        <v>1.057E-3</v>
      </c>
      <c r="J60" s="2">
        <v>0</v>
      </c>
      <c r="K60" s="2">
        <v>0</v>
      </c>
      <c r="L60" s="2">
        <v>0.15622</v>
      </c>
      <c r="M60" s="2">
        <v>0.228907</v>
      </c>
      <c r="N60" s="2">
        <v>7.7028369999999997</v>
      </c>
    </row>
    <row r="61" spans="1:14" x14ac:dyDescent="0.35">
      <c r="A61" s="2" t="s">
        <v>68</v>
      </c>
      <c r="B61" s="3">
        <f t="shared" si="0"/>
        <v>28157</v>
      </c>
      <c r="C61" s="2">
        <v>1.1217349999999999</v>
      </c>
      <c r="D61" s="2">
        <v>1.854136</v>
      </c>
      <c r="E61" s="2">
        <v>3.1589779999999998</v>
      </c>
      <c r="F61" s="2">
        <v>6.1348989999999999</v>
      </c>
      <c r="G61" s="2">
        <v>0.21107799999999999</v>
      </c>
      <c r="H61" s="2">
        <v>5.2423999999999998E-2</v>
      </c>
      <c r="I61" s="2">
        <v>9.2299999999999999E-4</v>
      </c>
      <c r="J61" s="2">
        <v>0</v>
      </c>
      <c r="K61" s="2">
        <v>0</v>
      </c>
      <c r="L61" s="2">
        <v>0.141176</v>
      </c>
      <c r="M61" s="2">
        <v>0.194523</v>
      </c>
      <c r="N61" s="2">
        <v>6.545058</v>
      </c>
    </row>
    <row r="62" spans="1:14" x14ac:dyDescent="0.35">
      <c r="A62" s="2" t="s">
        <v>69</v>
      </c>
      <c r="B62" s="3">
        <f t="shared" si="0"/>
        <v>28185</v>
      </c>
      <c r="C62" s="2">
        <v>1.1292199999999999</v>
      </c>
      <c r="D62" s="2">
        <v>1.751015</v>
      </c>
      <c r="E62" s="2">
        <v>3.098805</v>
      </c>
      <c r="F62" s="2">
        <v>5.9772299999999996</v>
      </c>
      <c r="G62" s="2">
        <v>0.22261900000000001</v>
      </c>
      <c r="H62" s="2">
        <v>6.8517999999999996E-2</v>
      </c>
      <c r="I62" s="2">
        <v>1.0460000000000001E-3</v>
      </c>
      <c r="J62" s="2">
        <v>0</v>
      </c>
      <c r="K62" s="2">
        <v>0</v>
      </c>
      <c r="L62" s="2">
        <v>0.15621699999999999</v>
      </c>
      <c r="M62" s="2">
        <v>0.22578100000000001</v>
      </c>
      <c r="N62" s="2">
        <v>6.4306770000000002</v>
      </c>
    </row>
    <row r="63" spans="1:14" x14ac:dyDescent="0.35">
      <c r="A63" s="2" t="s">
        <v>70</v>
      </c>
      <c r="B63" s="3">
        <f t="shared" si="0"/>
        <v>28216</v>
      </c>
      <c r="C63" s="2">
        <v>1.0412429999999999</v>
      </c>
      <c r="D63" s="2">
        <v>1.4692190000000001</v>
      </c>
      <c r="E63" s="2">
        <v>2.9006989999999999</v>
      </c>
      <c r="F63" s="2">
        <v>5.4091769999999997</v>
      </c>
      <c r="G63" s="2">
        <v>0.21394299999999999</v>
      </c>
      <c r="H63" s="2">
        <v>6.4507999999999996E-2</v>
      </c>
      <c r="I63" s="2">
        <v>9.3300000000000002E-4</v>
      </c>
      <c r="J63" s="2">
        <v>0</v>
      </c>
      <c r="K63" s="2">
        <v>0</v>
      </c>
      <c r="L63" s="2">
        <v>0.15116099999999999</v>
      </c>
      <c r="M63" s="2">
        <v>0.21660199999999999</v>
      </c>
      <c r="N63" s="2">
        <v>5.8446059999999997</v>
      </c>
    </row>
    <row r="64" spans="1:14" x14ac:dyDescent="0.35">
      <c r="A64" s="2" t="s">
        <v>71</v>
      </c>
      <c r="B64" s="3">
        <f t="shared" si="0"/>
        <v>28246</v>
      </c>
      <c r="C64" s="2">
        <v>1.1033869999999999</v>
      </c>
      <c r="D64" s="2">
        <v>1.407959</v>
      </c>
      <c r="E64" s="2">
        <v>2.9019849999999998</v>
      </c>
      <c r="F64" s="2">
        <v>5.413653</v>
      </c>
      <c r="G64" s="2">
        <v>0.221834</v>
      </c>
      <c r="H64" s="2">
        <v>6.4629000000000006E-2</v>
      </c>
      <c r="I64" s="2">
        <v>1.0070000000000001E-3</v>
      </c>
      <c r="J64" s="2">
        <v>0</v>
      </c>
      <c r="K64" s="2">
        <v>0</v>
      </c>
      <c r="L64" s="2">
        <v>0.15618599999999999</v>
      </c>
      <c r="M64" s="2">
        <v>0.22182299999999999</v>
      </c>
      <c r="N64" s="2">
        <v>5.8623560000000001</v>
      </c>
    </row>
    <row r="65" spans="1:14" x14ac:dyDescent="0.35">
      <c r="A65" s="2" t="s">
        <v>72</v>
      </c>
      <c r="B65" s="3">
        <f t="shared" si="0"/>
        <v>28277</v>
      </c>
      <c r="C65" s="2">
        <v>1.1620999999999999</v>
      </c>
      <c r="D65" s="2">
        <v>1.3609929999999999</v>
      </c>
      <c r="E65" s="2">
        <v>2.9896590000000001</v>
      </c>
      <c r="F65" s="2">
        <v>5.5128009999999996</v>
      </c>
      <c r="G65" s="2">
        <v>0.23172000000000001</v>
      </c>
      <c r="H65" s="2">
        <v>5.9609000000000002E-2</v>
      </c>
      <c r="I65" s="2">
        <v>9.9099999999999991E-4</v>
      </c>
      <c r="J65" s="2">
        <v>0</v>
      </c>
      <c r="K65" s="2">
        <v>0</v>
      </c>
      <c r="L65" s="2">
        <v>0.15115300000000001</v>
      </c>
      <c r="M65" s="2">
        <v>0.211752</v>
      </c>
      <c r="N65" s="2">
        <v>5.961157</v>
      </c>
    </row>
    <row r="66" spans="1:14" x14ac:dyDescent="0.35">
      <c r="A66" s="2" t="s">
        <v>73</v>
      </c>
      <c r="B66" s="3">
        <f t="shared" si="0"/>
        <v>28307</v>
      </c>
      <c r="C66" s="2">
        <v>1.2571190000000001</v>
      </c>
      <c r="D66" s="2">
        <v>1.3528249999999999</v>
      </c>
      <c r="E66" s="2">
        <v>3.0072730000000001</v>
      </c>
      <c r="F66" s="2">
        <v>5.6188039999999999</v>
      </c>
      <c r="G66" s="2">
        <v>0.23503199999999999</v>
      </c>
      <c r="H66" s="2">
        <v>5.8130000000000001E-2</v>
      </c>
      <c r="I66" s="2">
        <v>1.0480000000000001E-3</v>
      </c>
      <c r="J66" s="2">
        <v>0</v>
      </c>
      <c r="K66" s="2">
        <v>0</v>
      </c>
      <c r="L66" s="2">
        <v>0.15592</v>
      </c>
      <c r="M66" s="2">
        <v>0.21509700000000001</v>
      </c>
      <c r="N66" s="2">
        <v>6.0739789999999996</v>
      </c>
    </row>
    <row r="67" spans="1:14" x14ac:dyDescent="0.35">
      <c r="A67" s="2" t="s">
        <v>74</v>
      </c>
      <c r="B67" s="3">
        <f t="shared" si="0"/>
        <v>28338</v>
      </c>
      <c r="C67" s="2">
        <v>1.2310030000000001</v>
      </c>
      <c r="D67" s="2">
        <v>1.392644</v>
      </c>
      <c r="E67" s="2">
        <v>3.0901399999999999</v>
      </c>
      <c r="F67" s="2">
        <v>5.7147040000000002</v>
      </c>
      <c r="G67" s="2">
        <v>0.24499099999999999</v>
      </c>
      <c r="H67" s="2">
        <v>5.7829999999999999E-2</v>
      </c>
      <c r="I67" s="2">
        <v>9.6000000000000002E-4</v>
      </c>
      <c r="J67" s="2">
        <v>0</v>
      </c>
      <c r="K67" s="2">
        <v>0</v>
      </c>
      <c r="L67" s="2">
        <v>0.156081</v>
      </c>
      <c r="M67" s="2">
        <v>0.21487100000000001</v>
      </c>
      <c r="N67" s="2">
        <v>6.1796139999999999</v>
      </c>
    </row>
    <row r="68" spans="1:14" x14ac:dyDescent="0.35">
      <c r="A68" s="2" t="s">
        <v>75</v>
      </c>
      <c r="B68" s="3">
        <f t="shared" si="0"/>
        <v>28369</v>
      </c>
      <c r="C68" s="2">
        <v>1.135635</v>
      </c>
      <c r="D68" s="2">
        <v>1.4569669999999999</v>
      </c>
      <c r="E68" s="2">
        <v>2.9362729999999999</v>
      </c>
      <c r="F68" s="2">
        <v>5.5358689999999999</v>
      </c>
      <c r="G68" s="2">
        <v>0.211395</v>
      </c>
      <c r="H68" s="2">
        <v>5.6834999999999997E-2</v>
      </c>
      <c r="I68" s="2">
        <v>1.0280000000000001E-3</v>
      </c>
      <c r="J68" s="2">
        <v>0</v>
      </c>
      <c r="K68" s="2">
        <v>0</v>
      </c>
      <c r="L68" s="2">
        <v>0.15110999999999999</v>
      </c>
      <c r="M68" s="2">
        <v>0.20897399999999999</v>
      </c>
      <c r="N68" s="2">
        <v>5.9611219999999996</v>
      </c>
    </row>
    <row r="69" spans="1:14" x14ac:dyDescent="0.35">
      <c r="A69" s="2" t="s">
        <v>76</v>
      </c>
      <c r="B69" s="3">
        <f t="shared" si="0"/>
        <v>28399</v>
      </c>
      <c r="C69" s="2">
        <v>1.1275040000000001</v>
      </c>
      <c r="D69" s="2">
        <v>1.5498780000000001</v>
      </c>
      <c r="E69" s="2">
        <v>3.0395759999999998</v>
      </c>
      <c r="F69" s="2">
        <v>5.7209500000000002</v>
      </c>
      <c r="G69" s="2">
        <v>0.20505300000000001</v>
      </c>
      <c r="H69" s="2">
        <v>5.9479999999999998E-2</v>
      </c>
      <c r="I69" s="2">
        <v>1.075E-3</v>
      </c>
      <c r="J69" s="2">
        <v>0</v>
      </c>
      <c r="K69" s="2">
        <v>0</v>
      </c>
      <c r="L69" s="2">
        <v>0.15617200000000001</v>
      </c>
      <c r="M69" s="2">
        <v>0.216727</v>
      </c>
      <c r="N69" s="2">
        <v>6.1477769999999996</v>
      </c>
    </row>
    <row r="70" spans="1:14" x14ac:dyDescent="0.35">
      <c r="A70" s="2" t="s">
        <v>77</v>
      </c>
      <c r="B70" s="3">
        <f t="shared" si="0"/>
        <v>28430</v>
      </c>
      <c r="C70" s="2">
        <v>1.139472</v>
      </c>
      <c r="D70" s="2">
        <v>1.72549</v>
      </c>
      <c r="E70" s="2">
        <v>3.0349400000000002</v>
      </c>
      <c r="F70" s="2">
        <v>5.9006949999999998</v>
      </c>
      <c r="G70" s="2">
        <v>0.20954800000000001</v>
      </c>
      <c r="H70" s="2">
        <v>7.0583000000000007E-2</v>
      </c>
      <c r="I70" s="2">
        <v>1.08E-3</v>
      </c>
      <c r="J70" s="2">
        <v>0</v>
      </c>
      <c r="K70" s="2">
        <v>0</v>
      </c>
      <c r="L70" s="2">
        <v>0.151</v>
      </c>
      <c r="M70" s="2">
        <v>0.222663</v>
      </c>
      <c r="N70" s="2">
        <v>6.33779</v>
      </c>
    </row>
    <row r="71" spans="1:14" x14ac:dyDescent="0.35">
      <c r="A71" s="2" t="s">
        <v>78</v>
      </c>
      <c r="B71" s="3">
        <f t="shared" si="0"/>
        <v>28460</v>
      </c>
      <c r="C71" s="2">
        <v>1.2072529999999999</v>
      </c>
      <c r="D71" s="2">
        <v>2.1522679999999998</v>
      </c>
      <c r="E71" s="2">
        <v>3.4163299999999999</v>
      </c>
      <c r="F71" s="2">
        <v>6.7811579999999996</v>
      </c>
      <c r="G71" s="2">
        <v>0.255994</v>
      </c>
      <c r="H71" s="2">
        <v>7.8743999999999995E-2</v>
      </c>
      <c r="I71" s="2">
        <v>1.075E-3</v>
      </c>
      <c r="J71" s="2">
        <v>0</v>
      </c>
      <c r="K71" s="2">
        <v>0</v>
      </c>
      <c r="L71" s="2">
        <v>0.15593499999999999</v>
      </c>
      <c r="M71" s="2">
        <v>0.23575399999999999</v>
      </c>
      <c r="N71" s="2">
        <v>7.2779540000000003</v>
      </c>
    </row>
    <row r="72" spans="1:14" x14ac:dyDescent="0.35">
      <c r="A72" s="2" t="s">
        <v>79</v>
      </c>
      <c r="B72" s="3">
        <f t="shared" si="0"/>
        <v>28491</v>
      </c>
      <c r="C72" s="2">
        <v>1.195802</v>
      </c>
      <c r="D72" s="2">
        <v>2.4272580000000001</v>
      </c>
      <c r="E72" s="2">
        <v>3.3697330000000001</v>
      </c>
      <c r="F72" s="2">
        <v>6.9941459999999998</v>
      </c>
      <c r="G72" s="2">
        <v>0.282638</v>
      </c>
      <c r="H72" s="2">
        <v>8.6454000000000003E-2</v>
      </c>
      <c r="I72" s="2">
        <v>1.0950000000000001E-3</v>
      </c>
      <c r="J72" s="2">
        <v>0</v>
      </c>
      <c r="K72" s="2">
        <v>0</v>
      </c>
      <c r="L72" s="2">
        <v>0.173128</v>
      </c>
      <c r="M72" s="2">
        <v>0.26067699999999999</v>
      </c>
      <c r="N72" s="2">
        <v>7.5431790000000003</v>
      </c>
    </row>
    <row r="73" spans="1:14" x14ac:dyDescent="0.35">
      <c r="A73" s="2" t="s">
        <v>80</v>
      </c>
      <c r="B73" s="3">
        <f t="shared" si="0"/>
        <v>28522</v>
      </c>
      <c r="C73" s="2">
        <v>1.0015099999999999</v>
      </c>
      <c r="D73" s="2">
        <v>2.1796410000000002</v>
      </c>
      <c r="E73" s="2">
        <v>3.2345380000000001</v>
      </c>
      <c r="F73" s="2">
        <v>6.4164810000000001</v>
      </c>
      <c r="G73" s="2">
        <v>0.238869</v>
      </c>
      <c r="H73" s="2">
        <v>7.6605999999999994E-2</v>
      </c>
      <c r="I73" s="2">
        <v>9.3999999999999997E-4</v>
      </c>
      <c r="J73" s="2">
        <v>0</v>
      </c>
      <c r="K73" s="2">
        <v>0</v>
      </c>
      <c r="L73" s="2">
        <v>0.156387</v>
      </c>
      <c r="M73" s="2">
        <v>0.233933</v>
      </c>
      <c r="N73" s="2">
        <v>6.8944470000000004</v>
      </c>
    </row>
    <row r="74" spans="1:14" x14ac:dyDescent="0.35">
      <c r="A74" s="2" t="s">
        <v>81</v>
      </c>
      <c r="B74" s="3">
        <f t="shared" si="0"/>
        <v>28550</v>
      </c>
      <c r="C74" s="2">
        <v>0.95306199999999996</v>
      </c>
      <c r="D74" s="2">
        <v>1.954442</v>
      </c>
      <c r="E74" s="2">
        <v>3.3681950000000001</v>
      </c>
      <c r="F74" s="2">
        <v>6.2807149999999998</v>
      </c>
      <c r="G74" s="2">
        <v>0.245611</v>
      </c>
      <c r="H74" s="2">
        <v>8.4950999999999999E-2</v>
      </c>
      <c r="I74" s="2">
        <v>7.7700000000000002E-4</v>
      </c>
      <c r="J74" s="2">
        <v>0</v>
      </c>
      <c r="K74" s="2">
        <v>0</v>
      </c>
      <c r="L74" s="2">
        <v>0.17313600000000001</v>
      </c>
      <c r="M74" s="2">
        <v>0.25886300000000001</v>
      </c>
      <c r="N74" s="2">
        <v>6.7909069999999998</v>
      </c>
    </row>
    <row r="75" spans="1:14" x14ac:dyDescent="0.35">
      <c r="A75" s="2" t="s">
        <v>82</v>
      </c>
      <c r="B75" s="3">
        <f t="shared" si="0"/>
        <v>28581</v>
      </c>
      <c r="C75" s="2">
        <v>1.0190250000000001</v>
      </c>
      <c r="D75" s="2">
        <v>1.568241</v>
      </c>
      <c r="E75" s="2">
        <v>2.938869</v>
      </c>
      <c r="F75" s="2">
        <v>5.5376770000000004</v>
      </c>
      <c r="G75" s="2">
        <v>0.19234200000000001</v>
      </c>
      <c r="H75" s="2">
        <v>8.7280999999999997E-2</v>
      </c>
      <c r="I75" s="2">
        <v>6.5499999999999998E-4</v>
      </c>
      <c r="J75" s="2">
        <v>0</v>
      </c>
      <c r="K75" s="2">
        <v>0</v>
      </c>
      <c r="L75" s="2">
        <v>0.167349</v>
      </c>
      <c r="M75" s="2">
        <v>0.25528499999999998</v>
      </c>
      <c r="N75" s="2">
        <v>5.990837</v>
      </c>
    </row>
    <row r="76" spans="1:14" x14ac:dyDescent="0.35">
      <c r="A76" s="2" t="s">
        <v>83</v>
      </c>
      <c r="B76" s="3">
        <f t="shared" si="0"/>
        <v>28611</v>
      </c>
      <c r="C76" s="2">
        <v>1.088001</v>
      </c>
      <c r="D76" s="2">
        <v>1.40622</v>
      </c>
      <c r="E76" s="2">
        <v>3.1147809999999998</v>
      </c>
      <c r="F76" s="2">
        <v>5.6330200000000001</v>
      </c>
      <c r="G76" s="2">
        <v>0.22337299999999999</v>
      </c>
      <c r="H76" s="2">
        <v>9.9184999999999995E-2</v>
      </c>
      <c r="I76" s="2">
        <v>5.8299999999999997E-4</v>
      </c>
      <c r="J76" s="2">
        <v>0</v>
      </c>
      <c r="K76" s="2">
        <v>0</v>
      </c>
      <c r="L76" s="2">
        <v>0.17292299999999999</v>
      </c>
      <c r="M76" s="2">
        <v>0.27269100000000002</v>
      </c>
      <c r="N76" s="2">
        <v>6.1348019999999996</v>
      </c>
    </row>
    <row r="77" spans="1:14" x14ac:dyDescent="0.35">
      <c r="A77" s="2" t="s">
        <v>84</v>
      </c>
      <c r="B77" s="3">
        <f t="shared" ref="B77:B140" si="1">DATEVALUE(MID(A77, 6, 20) &amp; " 1, " &amp; LEFT(A77, 4))</f>
        <v>28642</v>
      </c>
      <c r="C77" s="2">
        <v>1.162388</v>
      </c>
      <c r="D77" s="2">
        <v>1.2727310000000001</v>
      </c>
      <c r="E77" s="2">
        <v>3.0250560000000002</v>
      </c>
      <c r="F77" s="2">
        <v>5.4690149999999997</v>
      </c>
      <c r="G77" s="2">
        <v>0.242728</v>
      </c>
      <c r="H77" s="2">
        <v>8.6645E-2</v>
      </c>
      <c r="I77" s="2">
        <v>7.18E-4</v>
      </c>
      <c r="J77" s="2">
        <v>0</v>
      </c>
      <c r="K77" s="2">
        <v>0</v>
      </c>
      <c r="L77" s="2">
        <v>0.16733999999999999</v>
      </c>
      <c r="M77" s="2">
        <v>0.25470300000000001</v>
      </c>
      <c r="N77" s="2">
        <v>5.9719790000000001</v>
      </c>
    </row>
    <row r="78" spans="1:14" x14ac:dyDescent="0.35">
      <c r="A78" s="2" t="s">
        <v>85</v>
      </c>
      <c r="B78" s="3">
        <f t="shared" si="1"/>
        <v>28672</v>
      </c>
      <c r="C78" s="2">
        <v>1.237363</v>
      </c>
      <c r="D78" s="2">
        <v>1.3583270000000001</v>
      </c>
      <c r="E78" s="2">
        <v>3.0196909999999999</v>
      </c>
      <c r="F78" s="2">
        <v>5.6294089999999999</v>
      </c>
      <c r="G78" s="2">
        <v>0.27360299999999999</v>
      </c>
      <c r="H78" s="2">
        <v>8.4338999999999997E-2</v>
      </c>
      <c r="I78" s="2">
        <v>8.0400000000000003E-4</v>
      </c>
      <c r="J78" s="2">
        <v>0</v>
      </c>
      <c r="K78" s="2">
        <v>0</v>
      </c>
      <c r="L78" s="2">
        <v>0.17291200000000001</v>
      </c>
      <c r="M78" s="2">
        <v>0.25805600000000001</v>
      </c>
      <c r="N78" s="2">
        <v>6.166785</v>
      </c>
    </row>
    <row r="79" spans="1:14" x14ac:dyDescent="0.35">
      <c r="A79" s="2" t="s">
        <v>86</v>
      </c>
      <c r="B79" s="3">
        <f t="shared" si="1"/>
        <v>28703</v>
      </c>
      <c r="C79" s="2">
        <v>1.2782180000000001</v>
      </c>
      <c r="D79" s="2">
        <v>1.309415</v>
      </c>
      <c r="E79" s="2">
        <v>3.2013690000000001</v>
      </c>
      <c r="F79" s="2">
        <v>5.8018650000000003</v>
      </c>
      <c r="G79" s="2">
        <v>0.280082</v>
      </c>
      <c r="H79" s="2">
        <v>7.6518000000000003E-2</v>
      </c>
      <c r="I79" s="2">
        <v>9.4499999999999998E-4</v>
      </c>
      <c r="J79" s="2">
        <v>0</v>
      </c>
      <c r="K79" s="2">
        <v>0</v>
      </c>
      <c r="L79" s="2">
        <v>0.17318900000000001</v>
      </c>
      <c r="M79" s="2">
        <v>0.25065199999999999</v>
      </c>
      <c r="N79" s="2">
        <v>6.3383159999999998</v>
      </c>
    </row>
    <row r="80" spans="1:14" x14ac:dyDescent="0.35">
      <c r="A80" s="2" t="s">
        <v>87</v>
      </c>
      <c r="B80" s="3">
        <f t="shared" si="1"/>
        <v>28734</v>
      </c>
      <c r="C80" s="2">
        <v>1.211465</v>
      </c>
      <c r="D80" s="2">
        <v>1.2584649999999999</v>
      </c>
      <c r="E80" s="2">
        <v>2.965814</v>
      </c>
      <c r="F80" s="2">
        <v>5.4469630000000002</v>
      </c>
      <c r="G80" s="2">
        <v>0.24276900000000001</v>
      </c>
      <c r="H80" s="2">
        <v>7.3041999999999996E-2</v>
      </c>
      <c r="I80" s="2">
        <v>9.9799999999999997E-4</v>
      </c>
      <c r="J80" s="2">
        <v>0</v>
      </c>
      <c r="K80" s="2">
        <v>0</v>
      </c>
      <c r="L80" s="2">
        <v>0.16745499999999999</v>
      </c>
      <c r="M80" s="2">
        <v>0.24149399999999999</v>
      </c>
      <c r="N80" s="2">
        <v>5.9367599999999996</v>
      </c>
    </row>
    <row r="81" spans="1:14" x14ac:dyDescent="0.35">
      <c r="A81" s="2" t="s">
        <v>88</v>
      </c>
      <c r="B81" s="3">
        <f t="shared" si="1"/>
        <v>28764</v>
      </c>
      <c r="C81" s="2">
        <v>1.1669639999999999</v>
      </c>
      <c r="D81" s="2">
        <v>1.46736</v>
      </c>
      <c r="E81" s="2">
        <v>3.139837</v>
      </c>
      <c r="F81" s="2">
        <v>5.7884789999999997</v>
      </c>
      <c r="G81" s="2">
        <v>0.25160500000000002</v>
      </c>
      <c r="H81" s="2">
        <v>6.7183999999999994E-2</v>
      </c>
      <c r="I81" s="2">
        <v>7.4200000000000004E-4</v>
      </c>
      <c r="J81" s="2">
        <v>0</v>
      </c>
      <c r="K81" s="2">
        <v>0</v>
      </c>
      <c r="L81" s="2">
        <v>0.17316899999999999</v>
      </c>
      <c r="M81" s="2">
        <v>0.241095</v>
      </c>
      <c r="N81" s="2">
        <v>6.2868959999999996</v>
      </c>
    </row>
    <row r="82" spans="1:14" x14ac:dyDescent="0.35">
      <c r="A82" s="2" t="s">
        <v>89</v>
      </c>
      <c r="B82" s="3">
        <f t="shared" si="1"/>
        <v>28795</v>
      </c>
      <c r="C82" s="2">
        <v>1.170315</v>
      </c>
      <c r="D82" s="2">
        <v>1.6895020000000001</v>
      </c>
      <c r="E82" s="2">
        <v>3.1566000000000001</v>
      </c>
      <c r="F82" s="2">
        <v>6.0284199999999997</v>
      </c>
      <c r="G82" s="2">
        <v>0.27243800000000001</v>
      </c>
      <c r="H82" s="2">
        <v>6.8818000000000004E-2</v>
      </c>
      <c r="I82" s="2">
        <v>8.3900000000000001E-4</v>
      </c>
      <c r="J82" s="2">
        <v>0</v>
      </c>
      <c r="K82" s="2">
        <v>0</v>
      </c>
      <c r="L82" s="2">
        <v>0.16755700000000001</v>
      </c>
      <c r="M82" s="2">
        <v>0.23721400000000001</v>
      </c>
      <c r="N82" s="2">
        <v>6.5436040000000002</v>
      </c>
    </row>
    <row r="83" spans="1:14" x14ac:dyDescent="0.35">
      <c r="A83" s="2" t="s">
        <v>90</v>
      </c>
      <c r="B83" s="3">
        <f t="shared" si="1"/>
        <v>28825</v>
      </c>
      <c r="C83" s="2">
        <v>1.281463</v>
      </c>
      <c r="D83" s="2">
        <v>2.108311</v>
      </c>
      <c r="E83" s="2">
        <v>3.3846349999999998</v>
      </c>
      <c r="F83" s="2">
        <v>6.7831419999999998</v>
      </c>
      <c r="G83" s="2">
        <v>0.27806700000000001</v>
      </c>
      <c r="H83" s="2">
        <v>7.6161999999999994E-2</v>
      </c>
      <c r="I83" s="2">
        <v>1.0629999999999999E-3</v>
      </c>
      <c r="J83" s="2">
        <v>0</v>
      </c>
      <c r="K83" s="2">
        <v>0</v>
      </c>
      <c r="L83" s="2">
        <v>0.17305999999999999</v>
      </c>
      <c r="M83" s="2">
        <v>0.25028499999999998</v>
      </c>
      <c r="N83" s="2">
        <v>7.3172119999999996</v>
      </c>
    </row>
    <row r="84" spans="1:14" x14ac:dyDescent="0.35">
      <c r="A84" s="2" t="s">
        <v>91</v>
      </c>
      <c r="B84" s="3">
        <f t="shared" si="1"/>
        <v>28856</v>
      </c>
      <c r="C84" s="2">
        <v>1.352487</v>
      </c>
      <c r="D84" s="2">
        <v>2.4769459999999999</v>
      </c>
      <c r="E84" s="2">
        <v>3.5028969999999999</v>
      </c>
      <c r="F84" s="2">
        <v>7.3361660000000004</v>
      </c>
      <c r="G84" s="2">
        <v>0.30235099999999998</v>
      </c>
      <c r="H84" s="2">
        <v>8.6377999999999996E-2</v>
      </c>
      <c r="I84" s="2">
        <v>1.021E-3</v>
      </c>
      <c r="J84" s="2">
        <v>0</v>
      </c>
      <c r="K84" s="2">
        <v>0</v>
      </c>
      <c r="L84" s="2">
        <v>0.18260000000000001</v>
      </c>
      <c r="M84" s="2">
        <v>0.27</v>
      </c>
      <c r="N84" s="2">
        <v>7.914409</v>
      </c>
    </row>
    <row r="85" spans="1:14" x14ac:dyDescent="0.35">
      <c r="A85" s="2" t="s">
        <v>92</v>
      </c>
      <c r="B85" s="3">
        <f t="shared" si="1"/>
        <v>28887</v>
      </c>
      <c r="C85" s="2">
        <v>1.203643</v>
      </c>
      <c r="D85" s="2">
        <v>2.2502840000000002</v>
      </c>
      <c r="E85" s="2">
        <v>3.2756129999999999</v>
      </c>
      <c r="F85" s="2">
        <v>6.7325119999999998</v>
      </c>
      <c r="G85" s="2">
        <v>0.28188299999999999</v>
      </c>
      <c r="H85" s="2">
        <v>7.3445999999999997E-2</v>
      </c>
      <c r="I85" s="2">
        <v>8.3600000000000005E-4</v>
      </c>
      <c r="J85" s="2">
        <v>0</v>
      </c>
      <c r="K85" s="2">
        <v>0</v>
      </c>
      <c r="L85" s="2">
        <v>0.16509599999999999</v>
      </c>
      <c r="M85" s="2">
        <v>0.23937700000000001</v>
      </c>
      <c r="N85" s="2">
        <v>7.2590950000000003</v>
      </c>
    </row>
    <row r="86" spans="1:14" x14ac:dyDescent="0.35">
      <c r="A86" s="2" t="s">
        <v>93</v>
      </c>
      <c r="B86" s="3">
        <f t="shared" si="1"/>
        <v>28915</v>
      </c>
      <c r="C86" s="2">
        <v>1.2124999999999999</v>
      </c>
      <c r="D86" s="2">
        <v>1.920501</v>
      </c>
      <c r="E86" s="2">
        <v>3.2870339999999998</v>
      </c>
      <c r="F86" s="2">
        <v>6.4219900000000001</v>
      </c>
      <c r="G86" s="2">
        <v>0.264739</v>
      </c>
      <c r="H86" s="2">
        <v>8.9482999999999993E-2</v>
      </c>
      <c r="I86" s="2">
        <v>1.121E-3</v>
      </c>
      <c r="J86" s="2">
        <v>0</v>
      </c>
      <c r="K86" s="2">
        <v>0</v>
      </c>
      <c r="L86" s="2">
        <v>0.18288099999999999</v>
      </c>
      <c r="M86" s="2">
        <v>0.27348499999999998</v>
      </c>
      <c r="N86" s="2">
        <v>6.9661059999999999</v>
      </c>
    </row>
    <row r="87" spans="1:14" x14ac:dyDescent="0.35">
      <c r="A87" s="2" t="s">
        <v>94</v>
      </c>
      <c r="B87" s="3">
        <f t="shared" si="1"/>
        <v>28946</v>
      </c>
      <c r="C87" s="2">
        <v>1.1403890000000001</v>
      </c>
      <c r="D87" s="2">
        <v>1.6274740000000001</v>
      </c>
      <c r="E87" s="2">
        <v>2.8625970000000001</v>
      </c>
      <c r="F87" s="2">
        <v>5.6354170000000003</v>
      </c>
      <c r="G87" s="2">
        <v>0.20036899999999999</v>
      </c>
      <c r="H87" s="2">
        <v>8.7645000000000001E-2</v>
      </c>
      <c r="I87" s="2">
        <v>1.0369999999999999E-3</v>
      </c>
      <c r="J87" s="2">
        <v>0</v>
      </c>
      <c r="K87" s="2">
        <v>0</v>
      </c>
      <c r="L87" s="2">
        <v>0.176844</v>
      </c>
      <c r="M87" s="2">
        <v>0.26552599999999998</v>
      </c>
      <c r="N87" s="2">
        <v>6.1070149999999996</v>
      </c>
    </row>
    <row r="88" spans="1:14" x14ac:dyDescent="0.35">
      <c r="A88" s="2" t="s">
        <v>95</v>
      </c>
      <c r="B88" s="3">
        <f t="shared" si="1"/>
        <v>28976</v>
      </c>
      <c r="C88" s="2">
        <v>1.19397</v>
      </c>
      <c r="D88" s="2">
        <v>1.459009</v>
      </c>
      <c r="E88" s="2">
        <v>3.0242770000000001</v>
      </c>
      <c r="F88" s="2">
        <v>5.6882159999999997</v>
      </c>
      <c r="G88" s="2">
        <v>0.16345499999999999</v>
      </c>
      <c r="H88" s="2">
        <v>9.9903000000000006E-2</v>
      </c>
      <c r="I88" s="2">
        <v>1.0430000000000001E-3</v>
      </c>
      <c r="J88" s="2">
        <v>0</v>
      </c>
      <c r="K88" s="2">
        <v>0</v>
      </c>
      <c r="L88" s="2">
        <v>0.182782</v>
      </c>
      <c r="M88" s="2">
        <v>0.28372700000000001</v>
      </c>
      <c r="N88" s="2">
        <v>6.1412909999999998</v>
      </c>
    </row>
    <row r="89" spans="1:14" x14ac:dyDescent="0.35">
      <c r="A89" s="2" t="s">
        <v>96</v>
      </c>
      <c r="B89" s="3">
        <f t="shared" si="1"/>
        <v>29007</v>
      </c>
      <c r="C89" s="2">
        <v>1.238154</v>
      </c>
      <c r="D89" s="2">
        <v>1.336489</v>
      </c>
      <c r="E89" s="2">
        <v>2.9370720000000001</v>
      </c>
      <c r="F89" s="2">
        <v>5.5209080000000004</v>
      </c>
      <c r="G89" s="2">
        <v>0.17477599999999999</v>
      </c>
      <c r="H89" s="2">
        <v>8.6230000000000001E-2</v>
      </c>
      <c r="I89" s="2">
        <v>1.0560000000000001E-3</v>
      </c>
      <c r="J89" s="2">
        <v>0</v>
      </c>
      <c r="K89" s="2">
        <v>0</v>
      </c>
      <c r="L89" s="2">
        <v>0.17683299999999999</v>
      </c>
      <c r="M89" s="2">
        <v>0.26411800000000002</v>
      </c>
      <c r="N89" s="2">
        <v>5.9655050000000003</v>
      </c>
    </row>
    <row r="90" spans="1:14" x14ac:dyDescent="0.35">
      <c r="A90" s="2" t="s">
        <v>97</v>
      </c>
      <c r="B90" s="3">
        <f t="shared" si="1"/>
        <v>29037</v>
      </c>
      <c r="C90" s="2">
        <v>1.3347830000000001</v>
      </c>
      <c r="D90" s="2">
        <v>1.3579300000000001</v>
      </c>
      <c r="E90" s="2">
        <v>2.9191579999999999</v>
      </c>
      <c r="F90" s="2">
        <v>5.6195779999999997</v>
      </c>
      <c r="G90" s="2">
        <v>0.226552</v>
      </c>
      <c r="H90" s="2">
        <v>7.8573000000000004E-2</v>
      </c>
      <c r="I90" s="2">
        <v>1.1199999999999999E-3</v>
      </c>
      <c r="J90" s="2">
        <v>0</v>
      </c>
      <c r="K90" s="2">
        <v>0</v>
      </c>
      <c r="L90" s="2">
        <v>0.1827</v>
      </c>
      <c r="M90" s="2">
        <v>0.26239400000000002</v>
      </c>
      <c r="N90" s="2">
        <v>6.1144160000000003</v>
      </c>
    </row>
    <row r="91" spans="1:14" x14ac:dyDescent="0.35">
      <c r="A91" s="2" t="s">
        <v>98</v>
      </c>
      <c r="B91" s="3">
        <f t="shared" si="1"/>
        <v>29068</v>
      </c>
      <c r="C91" s="2">
        <v>1.342578</v>
      </c>
      <c r="D91" s="2">
        <v>1.370182</v>
      </c>
      <c r="E91" s="2">
        <v>3.0932680000000001</v>
      </c>
      <c r="F91" s="2">
        <v>5.8145759999999997</v>
      </c>
      <c r="G91" s="2">
        <v>0.26331599999999999</v>
      </c>
      <c r="H91" s="2">
        <v>7.3393E-2</v>
      </c>
      <c r="I91" s="2">
        <v>1.222E-3</v>
      </c>
      <c r="J91" s="2">
        <v>0</v>
      </c>
      <c r="K91" s="2">
        <v>0</v>
      </c>
      <c r="L91" s="2">
        <v>0.182808</v>
      </c>
      <c r="M91" s="2">
        <v>0.25742300000000001</v>
      </c>
      <c r="N91" s="2">
        <v>6.341208</v>
      </c>
    </row>
    <row r="92" spans="1:14" x14ac:dyDescent="0.35">
      <c r="A92" s="2" t="s">
        <v>99</v>
      </c>
      <c r="B92" s="3">
        <f t="shared" si="1"/>
        <v>29099</v>
      </c>
      <c r="C92" s="2">
        <v>1.1982489999999999</v>
      </c>
      <c r="D92" s="2">
        <v>1.3569089999999999</v>
      </c>
      <c r="E92" s="2">
        <v>2.8681909999999999</v>
      </c>
      <c r="F92" s="2">
        <v>5.4310980000000004</v>
      </c>
      <c r="G92" s="2">
        <v>0.237204</v>
      </c>
      <c r="H92" s="2">
        <v>6.5516000000000005E-2</v>
      </c>
      <c r="I92" s="2">
        <v>1.06E-3</v>
      </c>
      <c r="J92" s="2">
        <v>0</v>
      </c>
      <c r="K92" s="2">
        <v>0</v>
      </c>
      <c r="L92" s="2">
        <v>0.17689099999999999</v>
      </c>
      <c r="M92" s="2">
        <v>0.24346799999999999</v>
      </c>
      <c r="N92" s="2">
        <v>5.9174730000000002</v>
      </c>
    </row>
    <row r="93" spans="1:14" x14ac:dyDescent="0.35">
      <c r="A93" s="2" t="s">
        <v>100</v>
      </c>
      <c r="B93" s="3">
        <f t="shared" si="1"/>
        <v>29129</v>
      </c>
      <c r="C93" s="2">
        <v>1.2313909999999999</v>
      </c>
      <c r="D93" s="2">
        <v>1.5896969999999999</v>
      </c>
      <c r="E93" s="2">
        <v>3.0874359999999998</v>
      </c>
      <c r="F93" s="2">
        <v>5.9119809999999999</v>
      </c>
      <c r="G93" s="2">
        <v>0.227745</v>
      </c>
      <c r="H93" s="2">
        <v>6.9619E-2</v>
      </c>
      <c r="I93" s="2">
        <v>1.189E-3</v>
      </c>
      <c r="J93" s="2">
        <v>0</v>
      </c>
      <c r="K93" s="2">
        <v>0</v>
      </c>
      <c r="L93" s="2">
        <v>0.182752</v>
      </c>
      <c r="M93" s="2">
        <v>0.25355899999999998</v>
      </c>
      <c r="N93" s="2">
        <v>6.3991769999999999</v>
      </c>
    </row>
    <row r="94" spans="1:14" x14ac:dyDescent="0.35">
      <c r="A94" s="2" t="s">
        <v>101</v>
      </c>
      <c r="B94" s="3">
        <f t="shared" si="1"/>
        <v>29160</v>
      </c>
      <c r="C94" s="2">
        <v>1.2375320000000001</v>
      </c>
      <c r="D94" s="2">
        <v>1.8051280000000001</v>
      </c>
      <c r="E94" s="2">
        <v>3.0065539999999999</v>
      </c>
      <c r="F94" s="2">
        <v>6.0491229999999998</v>
      </c>
      <c r="G94" s="2">
        <v>0.209477</v>
      </c>
      <c r="H94" s="2">
        <v>7.7213000000000004E-2</v>
      </c>
      <c r="I94" s="2">
        <v>1.155E-3</v>
      </c>
      <c r="J94" s="2">
        <v>0</v>
      </c>
      <c r="K94" s="2">
        <v>0</v>
      </c>
      <c r="L94" s="2">
        <v>0.176949</v>
      </c>
      <c r="M94" s="2">
        <v>0.25531700000000002</v>
      </c>
      <c r="N94" s="2">
        <v>6.5196189999999996</v>
      </c>
    </row>
    <row r="95" spans="1:14" x14ac:dyDescent="0.35">
      <c r="A95" s="2" t="s">
        <v>102</v>
      </c>
      <c r="B95" s="3">
        <f t="shared" si="1"/>
        <v>29190</v>
      </c>
      <c r="C95" s="2">
        <v>1.3539099999999999</v>
      </c>
      <c r="D95" s="2">
        <v>2.1155119999999998</v>
      </c>
      <c r="E95" s="2">
        <v>3.2116449999999999</v>
      </c>
      <c r="F95" s="2">
        <v>6.682671</v>
      </c>
      <c r="G95" s="2">
        <v>0.22395899999999999</v>
      </c>
      <c r="H95" s="2">
        <v>7.8456999999999999E-2</v>
      </c>
      <c r="I95" s="2">
        <v>1.4090000000000001E-3</v>
      </c>
      <c r="J95" s="2">
        <v>0</v>
      </c>
      <c r="K95" s="2">
        <v>0</v>
      </c>
      <c r="L95" s="2">
        <v>0.18276999999999999</v>
      </c>
      <c r="M95" s="2">
        <v>0.26263700000000001</v>
      </c>
      <c r="N95" s="2">
        <v>7.17516</v>
      </c>
    </row>
    <row r="96" spans="1:14" x14ac:dyDescent="0.35">
      <c r="A96" s="2" t="s">
        <v>103</v>
      </c>
      <c r="B96" s="3">
        <f t="shared" si="1"/>
        <v>29221</v>
      </c>
      <c r="C96" s="2">
        <v>1.3940410000000001</v>
      </c>
      <c r="D96" s="2">
        <v>2.278492</v>
      </c>
      <c r="E96" s="2">
        <v>3.188828</v>
      </c>
      <c r="F96" s="2">
        <v>6.864636</v>
      </c>
      <c r="G96" s="2">
        <v>0.215389</v>
      </c>
      <c r="H96" s="2">
        <v>8.7244000000000002E-2</v>
      </c>
      <c r="I96" s="2">
        <v>1.1479999999999999E-3</v>
      </c>
      <c r="J96" s="2">
        <v>0</v>
      </c>
      <c r="K96" s="2">
        <v>0</v>
      </c>
      <c r="L96" s="2">
        <v>0.20982899999999999</v>
      </c>
      <c r="M96" s="2">
        <v>0.29822100000000001</v>
      </c>
      <c r="N96" s="2">
        <v>7.3842939999999997</v>
      </c>
    </row>
    <row r="97" spans="1:14" x14ac:dyDescent="0.35">
      <c r="A97" s="2" t="s">
        <v>104</v>
      </c>
      <c r="B97" s="3">
        <f t="shared" si="1"/>
        <v>29252</v>
      </c>
      <c r="C97" s="2">
        <v>1.309761</v>
      </c>
      <c r="D97" s="2">
        <v>2.1861790000000001</v>
      </c>
      <c r="E97" s="2">
        <v>2.9874939999999999</v>
      </c>
      <c r="F97" s="2">
        <v>6.4829129999999999</v>
      </c>
      <c r="G97" s="2">
        <v>0.21027699999999999</v>
      </c>
      <c r="H97" s="2">
        <v>7.3780999999999999E-2</v>
      </c>
      <c r="I97" s="2">
        <v>1.103E-3</v>
      </c>
      <c r="J97" s="2">
        <v>0</v>
      </c>
      <c r="K97" s="2">
        <v>0</v>
      </c>
      <c r="L97" s="2">
        <v>0.19631000000000001</v>
      </c>
      <c r="M97" s="2">
        <v>0.27119399999999999</v>
      </c>
      <c r="N97" s="2">
        <v>6.9700410000000002</v>
      </c>
    </row>
    <row r="98" spans="1:14" x14ac:dyDescent="0.35">
      <c r="A98" s="2" t="s">
        <v>105</v>
      </c>
      <c r="B98" s="3">
        <f t="shared" si="1"/>
        <v>29281</v>
      </c>
      <c r="C98" s="2">
        <v>1.291623</v>
      </c>
      <c r="D98" s="2">
        <v>2.0909369999999998</v>
      </c>
      <c r="E98" s="2">
        <v>2.9488240000000001</v>
      </c>
      <c r="F98" s="2">
        <v>6.3281409999999996</v>
      </c>
      <c r="G98" s="2">
        <v>0.218584</v>
      </c>
      <c r="H98" s="2">
        <v>8.3977999999999997E-2</v>
      </c>
      <c r="I98" s="2">
        <v>1.225E-3</v>
      </c>
      <c r="J98" s="2">
        <v>0</v>
      </c>
      <c r="K98" s="2">
        <v>0</v>
      </c>
      <c r="L98" s="2">
        <v>0.209727</v>
      </c>
      <c r="M98" s="2">
        <v>0.294931</v>
      </c>
      <c r="N98" s="2">
        <v>6.8477030000000001</v>
      </c>
    </row>
    <row r="99" spans="1:14" x14ac:dyDescent="0.35">
      <c r="A99" s="2" t="s">
        <v>106</v>
      </c>
      <c r="B99" s="3">
        <f t="shared" si="1"/>
        <v>29312</v>
      </c>
      <c r="C99" s="2">
        <v>1.155186</v>
      </c>
      <c r="D99" s="2">
        <v>1.5621929999999999</v>
      </c>
      <c r="E99" s="2">
        <v>2.7575349999999998</v>
      </c>
      <c r="F99" s="2">
        <v>5.4702450000000002</v>
      </c>
      <c r="G99" s="2">
        <v>0.20499999999999999</v>
      </c>
      <c r="H99" s="2">
        <v>8.8865E-2</v>
      </c>
      <c r="I99" s="2">
        <v>1.284E-3</v>
      </c>
      <c r="J99" s="2">
        <v>0</v>
      </c>
      <c r="K99" s="2">
        <v>0</v>
      </c>
      <c r="L99" s="2">
        <v>0.20289399999999999</v>
      </c>
      <c r="M99" s="2">
        <v>0.293043</v>
      </c>
      <c r="N99" s="2">
        <v>5.9741400000000002</v>
      </c>
    </row>
    <row r="100" spans="1:14" x14ac:dyDescent="0.35">
      <c r="A100" s="2" t="s">
        <v>107</v>
      </c>
      <c r="B100" s="3">
        <f t="shared" si="1"/>
        <v>29342</v>
      </c>
      <c r="C100" s="2">
        <v>1.15954</v>
      </c>
      <c r="D100" s="2">
        <v>1.3808739999999999</v>
      </c>
      <c r="E100" s="2">
        <v>2.7481659999999999</v>
      </c>
      <c r="F100" s="2">
        <v>5.2833259999999997</v>
      </c>
      <c r="G100" s="2">
        <v>0.200541</v>
      </c>
      <c r="H100" s="2">
        <v>9.9622000000000002E-2</v>
      </c>
      <c r="I100" s="2">
        <v>1.5120000000000001E-3</v>
      </c>
      <c r="J100" s="2">
        <v>0</v>
      </c>
      <c r="K100" s="2">
        <v>0</v>
      </c>
      <c r="L100" s="2">
        <v>0.20954800000000001</v>
      </c>
      <c r="M100" s="2">
        <v>0.31068200000000001</v>
      </c>
      <c r="N100" s="2">
        <v>5.8005969999999998</v>
      </c>
    </row>
    <row r="101" spans="1:14" x14ac:dyDescent="0.35">
      <c r="A101" s="2" t="s">
        <v>108</v>
      </c>
      <c r="B101" s="3">
        <f t="shared" si="1"/>
        <v>29373</v>
      </c>
      <c r="C101" s="2">
        <v>1.231174</v>
      </c>
      <c r="D101" s="2">
        <v>1.2772490000000001</v>
      </c>
      <c r="E101" s="2">
        <v>2.6645020000000001</v>
      </c>
      <c r="F101" s="2">
        <v>5.168984</v>
      </c>
      <c r="G101" s="2">
        <v>0.19985900000000001</v>
      </c>
      <c r="H101" s="2">
        <v>9.5450999999999994E-2</v>
      </c>
      <c r="I101" s="2">
        <v>1.459E-3</v>
      </c>
      <c r="J101" s="2">
        <v>0</v>
      </c>
      <c r="K101" s="2">
        <v>0</v>
      </c>
      <c r="L101" s="2">
        <v>0.20272299999999999</v>
      </c>
      <c r="M101" s="2">
        <v>0.29963299999999998</v>
      </c>
      <c r="N101" s="2">
        <v>5.674328</v>
      </c>
    </row>
    <row r="102" spans="1:14" x14ac:dyDescent="0.35">
      <c r="A102" s="2" t="s">
        <v>109</v>
      </c>
      <c r="B102" s="3">
        <f t="shared" si="1"/>
        <v>29403</v>
      </c>
      <c r="C102" s="2">
        <v>1.3853420000000001</v>
      </c>
      <c r="D102" s="2">
        <v>1.318738</v>
      </c>
      <c r="E102" s="2">
        <v>2.728917</v>
      </c>
      <c r="F102" s="2">
        <v>5.4287400000000003</v>
      </c>
      <c r="G102" s="2">
        <v>0.22932900000000001</v>
      </c>
      <c r="H102" s="2">
        <v>8.4447999999999995E-2</v>
      </c>
      <c r="I102" s="2">
        <v>1.534E-3</v>
      </c>
      <c r="J102" s="2">
        <v>0</v>
      </c>
      <c r="K102" s="2">
        <v>0</v>
      </c>
      <c r="L102" s="2">
        <v>0.20955399999999999</v>
      </c>
      <c r="M102" s="2">
        <v>0.29553699999999999</v>
      </c>
      <c r="N102" s="2">
        <v>5.9596530000000003</v>
      </c>
    </row>
    <row r="103" spans="1:14" x14ac:dyDescent="0.35">
      <c r="A103" s="2" t="s">
        <v>110</v>
      </c>
      <c r="B103" s="3">
        <f t="shared" si="1"/>
        <v>29434</v>
      </c>
      <c r="C103" s="2">
        <v>1.3772150000000001</v>
      </c>
      <c r="D103" s="2">
        <v>1.3054060000000001</v>
      </c>
      <c r="E103" s="2">
        <v>2.6832410000000002</v>
      </c>
      <c r="F103" s="2">
        <v>5.3627700000000003</v>
      </c>
      <c r="G103" s="2">
        <v>0.26542399999999999</v>
      </c>
      <c r="H103" s="2">
        <v>7.0516999999999996E-2</v>
      </c>
      <c r="I103" s="2">
        <v>1.639E-3</v>
      </c>
      <c r="J103" s="2">
        <v>0</v>
      </c>
      <c r="K103" s="2">
        <v>0</v>
      </c>
      <c r="L103" s="2">
        <v>0.209675</v>
      </c>
      <c r="M103" s="2">
        <v>0.281831</v>
      </c>
      <c r="N103" s="2">
        <v>5.9160719999999998</v>
      </c>
    </row>
    <row r="104" spans="1:14" x14ac:dyDescent="0.35">
      <c r="A104" s="2" t="s">
        <v>111</v>
      </c>
      <c r="B104" s="3">
        <f t="shared" si="1"/>
        <v>29465</v>
      </c>
      <c r="C104" s="2">
        <v>1.2577020000000001</v>
      </c>
      <c r="D104" s="2">
        <v>1.322794</v>
      </c>
      <c r="E104" s="2">
        <v>2.7292990000000001</v>
      </c>
      <c r="F104" s="2">
        <v>5.305752</v>
      </c>
      <c r="G104" s="2">
        <v>0.25712699999999999</v>
      </c>
      <c r="H104" s="2">
        <v>6.3819000000000001E-2</v>
      </c>
      <c r="I104" s="2">
        <v>1.48E-3</v>
      </c>
      <c r="J104" s="2">
        <v>0</v>
      </c>
      <c r="K104" s="2">
        <v>0</v>
      </c>
      <c r="L104" s="2">
        <v>0.202905</v>
      </c>
      <c r="M104" s="2">
        <v>0.268204</v>
      </c>
      <c r="N104" s="2">
        <v>5.8369359999999997</v>
      </c>
    </row>
    <row r="105" spans="1:14" x14ac:dyDescent="0.35">
      <c r="A105" s="2" t="s">
        <v>112</v>
      </c>
      <c r="B105" s="3">
        <f t="shared" si="1"/>
        <v>29495</v>
      </c>
      <c r="C105" s="2">
        <v>1.224097</v>
      </c>
      <c r="D105" s="2">
        <v>1.549528</v>
      </c>
      <c r="E105" s="2">
        <v>2.873005</v>
      </c>
      <c r="F105" s="2">
        <v>5.6406280000000004</v>
      </c>
      <c r="G105" s="2">
        <v>0.26735100000000001</v>
      </c>
      <c r="H105" s="2">
        <v>6.1661000000000001E-2</v>
      </c>
      <c r="I105" s="2">
        <v>1.681E-3</v>
      </c>
      <c r="J105" s="2">
        <v>0</v>
      </c>
      <c r="K105" s="2">
        <v>0</v>
      </c>
      <c r="L105" s="2">
        <v>0.20971699999999999</v>
      </c>
      <c r="M105" s="2">
        <v>0.27305800000000002</v>
      </c>
      <c r="N105" s="2">
        <v>6.1870849999999997</v>
      </c>
    </row>
    <row r="106" spans="1:14" x14ac:dyDescent="0.35">
      <c r="A106" s="2" t="s">
        <v>113</v>
      </c>
      <c r="B106" s="3">
        <f t="shared" si="1"/>
        <v>29526</v>
      </c>
      <c r="C106" s="2">
        <v>1.2465660000000001</v>
      </c>
      <c r="D106" s="2">
        <v>1.791974</v>
      </c>
      <c r="E106" s="2">
        <v>2.7392699999999999</v>
      </c>
      <c r="F106" s="2">
        <v>5.7756179999999997</v>
      </c>
      <c r="G106" s="2">
        <v>0.22889200000000001</v>
      </c>
      <c r="H106" s="2">
        <v>6.6324999999999995E-2</v>
      </c>
      <c r="I106" s="2">
        <v>1.6429999999999999E-3</v>
      </c>
      <c r="J106" s="2">
        <v>0</v>
      </c>
      <c r="K106" s="2">
        <v>0</v>
      </c>
      <c r="L106" s="2">
        <v>0.20294499999999999</v>
      </c>
      <c r="M106" s="2">
        <v>0.27091300000000001</v>
      </c>
      <c r="N106" s="2">
        <v>6.2812749999999999</v>
      </c>
    </row>
    <row r="107" spans="1:14" x14ac:dyDescent="0.35">
      <c r="A107" s="2" t="s">
        <v>114</v>
      </c>
      <c r="B107" s="3">
        <f t="shared" si="1"/>
        <v>29556</v>
      </c>
      <c r="C107" s="2">
        <v>1.3905400000000001</v>
      </c>
      <c r="D107" s="2">
        <v>2.1679040000000001</v>
      </c>
      <c r="E107" s="2">
        <v>3.110452</v>
      </c>
      <c r="F107" s="2">
        <v>6.6678050000000004</v>
      </c>
      <c r="G107" s="2">
        <v>0.241396</v>
      </c>
      <c r="H107" s="2">
        <v>7.6857999999999996E-2</v>
      </c>
      <c r="I107" s="2">
        <v>1.6019999999999999E-3</v>
      </c>
      <c r="J107" s="2">
        <v>0</v>
      </c>
      <c r="K107" s="2">
        <v>0</v>
      </c>
      <c r="L107" s="2">
        <v>0.209671</v>
      </c>
      <c r="M107" s="2">
        <v>0.28813100000000003</v>
      </c>
      <c r="N107" s="2">
        <v>7.2033800000000001</v>
      </c>
    </row>
    <row r="108" spans="1:14" x14ac:dyDescent="0.35">
      <c r="A108" s="2" t="s">
        <v>115</v>
      </c>
      <c r="B108" s="3">
        <f t="shared" si="1"/>
        <v>29587</v>
      </c>
      <c r="C108" s="2">
        <v>1.4673659999999999</v>
      </c>
      <c r="D108" s="2">
        <v>2.3196059999999998</v>
      </c>
      <c r="E108" s="2">
        <v>3.1183700000000001</v>
      </c>
      <c r="F108" s="2">
        <v>6.9049589999999998</v>
      </c>
      <c r="G108" s="2">
        <v>0.26228000000000001</v>
      </c>
      <c r="H108" s="2">
        <v>7.7214000000000005E-2</v>
      </c>
      <c r="I108" s="2">
        <v>1.725E-3</v>
      </c>
      <c r="J108" s="2">
        <v>0</v>
      </c>
      <c r="K108" s="2">
        <v>0</v>
      </c>
      <c r="L108" s="2">
        <v>0.22054399999999999</v>
      </c>
      <c r="M108" s="2">
        <v>0.299483</v>
      </c>
      <c r="N108" s="2">
        <v>7.4763539999999997</v>
      </c>
    </row>
    <row r="109" spans="1:14" x14ac:dyDescent="0.35">
      <c r="A109" s="2" t="s">
        <v>116</v>
      </c>
      <c r="B109" s="3">
        <f t="shared" si="1"/>
        <v>29618</v>
      </c>
      <c r="C109" s="2">
        <v>1.297021</v>
      </c>
      <c r="D109" s="2">
        <v>1.928722</v>
      </c>
      <c r="E109" s="2">
        <v>2.5857169999999998</v>
      </c>
      <c r="F109" s="2">
        <v>5.8105710000000004</v>
      </c>
      <c r="G109" s="2">
        <v>0.23819599999999999</v>
      </c>
      <c r="H109" s="2">
        <v>7.2830000000000006E-2</v>
      </c>
      <c r="I109" s="2">
        <v>1.5250000000000001E-3</v>
      </c>
      <c r="J109" s="2">
        <v>0</v>
      </c>
      <c r="K109" s="2">
        <v>0</v>
      </c>
      <c r="L109" s="2">
        <v>0.19924800000000001</v>
      </c>
      <c r="M109" s="2">
        <v>0.27360400000000001</v>
      </c>
      <c r="N109" s="2">
        <v>6.3310700000000004</v>
      </c>
    </row>
    <row r="110" spans="1:14" x14ac:dyDescent="0.35">
      <c r="A110" s="2" t="s">
        <v>117</v>
      </c>
      <c r="B110" s="3">
        <f t="shared" si="1"/>
        <v>29646</v>
      </c>
      <c r="C110" s="2">
        <v>1.3042830000000001</v>
      </c>
      <c r="D110" s="2">
        <v>1.9332640000000001</v>
      </c>
      <c r="E110" s="2">
        <v>2.6750189999999998</v>
      </c>
      <c r="F110" s="2">
        <v>5.9100619999999999</v>
      </c>
      <c r="G110" s="2">
        <v>0.24270900000000001</v>
      </c>
      <c r="H110" s="2">
        <v>7.1150000000000005E-2</v>
      </c>
      <c r="I110" s="2">
        <v>1.7099999999999999E-3</v>
      </c>
      <c r="J110" s="2">
        <v>0</v>
      </c>
      <c r="K110" s="2">
        <v>0</v>
      </c>
      <c r="L110" s="2">
        <v>0.22059500000000001</v>
      </c>
      <c r="M110" s="2">
        <v>0.29345399999999999</v>
      </c>
      <c r="N110" s="2">
        <v>6.4558559999999998</v>
      </c>
    </row>
    <row r="111" spans="1:14" x14ac:dyDescent="0.35">
      <c r="A111" s="2" t="s">
        <v>118</v>
      </c>
      <c r="B111" s="3">
        <f t="shared" si="1"/>
        <v>29677</v>
      </c>
      <c r="C111" s="2">
        <v>1.186599</v>
      </c>
      <c r="D111" s="2">
        <v>1.5138499999999999</v>
      </c>
      <c r="E111" s="2">
        <v>2.5009579999999998</v>
      </c>
      <c r="F111" s="2">
        <v>5.2001400000000002</v>
      </c>
      <c r="G111" s="2">
        <v>0.22772600000000001</v>
      </c>
      <c r="H111" s="2">
        <v>7.1718000000000004E-2</v>
      </c>
      <c r="I111" s="2">
        <v>1.5790000000000001E-3</v>
      </c>
      <c r="J111" s="2">
        <v>0</v>
      </c>
      <c r="K111" s="2">
        <v>0</v>
      </c>
      <c r="L111" s="2">
        <v>0.21346699999999999</v>
      </c>
      <c r="M111" s="2">
        <v>0.28676400000000002</v>
      </c>
      <c r="N111" s="2">
        <v>5.7239500000000003</v>
      </c>
    </row>
    <row r="112" spans="1:14" x14ac:dyDescent="0.35">
      <c r="A112" s="2" t="s">
        <v>119</v>
      </c>
      <c r="B112" s="3">
        <f t="shared" si="1"/>
        <v>29707</v>
      </c>
      <c r="C112" s="2">
        <v>1.1947680000000001</v>
      </c>
      <c r="D112" s="2">
        <v>1.4514640000000001</v>
      </c>
      <c r="E112" s="2">
        <v>2.5856750000000002</v>
      </c>
      <c r="F112" s="2">
        <v>5.2319490000000002</v>
      </c>
      <c r="G112" s="2">
        <v>0.21754599999999999</v>
      </c>
      <c r="H112" s="2">
        <v>8.3301E-2</v>
      </c>
      <c r="I112" s="2">
        <v>1.5640000000000001E-3</v>
      </c>
      <c r="J112" s="2">
        <v>0</v>
      </c>
      <c r="K112" s="2">
        <v>0</v>
      </c>
      <c r="L112" s="2">
        <v>0.22043299999999999</v>
      </c>
      <c r="M112" s="2">
        <v>0.30529699999999999</v>
      </c>
      <c r="N112" s="2">
        <v>5.764424</v>
      </c>
    </row>
    <row r="113" spans="1:14" x14ac:dyDescent="0.35">
      <c r="A113" s="2" t="s">
        <v>120</v>
      </c>
      <c r="B113" s="3">
        <f t="shared" si="1"/>
        <v>29738</v>
      </c>
      <c r="C113" s="2">
        <v>1.2959350000000001</v>
      </c>
      <c r="D113" s="2">
        <v>1.331774</v>
      </c>
      <c r="E113" s="2">
        <v>2.6324429999999999</v>
      </c>
      <c r="F113" s="2">
        <v>5.2559290000000001</v>
      </c>
      <c r="G113" s="2">
        <v>0.233457</v>
      </c>
      <c r="H113" s="2">
        <v>9.1061000000000003E-2</v>
      </c>
      <c r="I113" s="2">
        <v>1.5610000000000001E-3</v>
      </c>
      <c r="J113" s="2">
        <v>0</v>
      </c>
      <c r="K113" s="2">
        <v>0</v>
      </c>
      <c r="L113" s="2">
        <v>0.21323700000000001</v>
      </c>
      <c r="M113" s="2">
        <v>0.30586000000000002</v>
      </c>
      <c r="N113" s="2">
        <v>5.8045669999999996</v>
      </c>
    </row>
    <row r="114" spans="1:14" x14ac:dyDescent="0.35">
      <c r="A114" s="2" t="s">
        <v>121</v>
      </c>
      <c r="B114" s="3">
        <f t="shared" si="1"/>
        <v>29768</v>
      </c>
      <c r="C114" s="2">
        <v>1.4633309999999999</v>
      </c>
      <c r="D114" s="2">
        <v>1.336794</v>
      </c>
      <c r="E114" s="2">
        <v>2.6525569999999998</v>
      </c>
      <c r="F114" s="2">
        <v>5.4529310000000004</v>
      </c>
      <c r="G114" s="2">
        <v>0.25456899999999999</v>
      </c>
      <c r="H114" s="2">
        <v>8.6713999999999999E-2</v>
      </c>
      <c r="I114" s="2">
        <v>1.7160000000000001E-3</v>
      </c>
      <c r="J114" s="2">
        <v>0</v>
      </c>
      <c r="K114" s="2">
        <v>0</v>
      </c>
      <c r="L114" s="2">
        <v>0.220392</v>
      </c>
      <c r="M114" s="2">
        <v>0.30882100000000001</v>
      </c>
      <c r="N114" s="2">
        <v>6.0259520000000002</v>
      </c>
    </row>
    <row r="115" spans="1:14" x14ac:dyDescent="0.35">
      <c r="A115" s="2" t="s">
        <v>122</v>
      </c>
      <c r="B115" s="3">
        <f t="shared" si="1"/>
        <v>29799</v>
      </c>
      <c r="C115" s="2">
        <v>1.430796</v>
      </c>
      <c r="D115" s="2">
        <v>1.335664</v>
      </c>
      <c r="E115" s="2">
        <v>2.5853039999999998</v>
      </c>
      <c r="F115" s="2">
        <v>5.3520380000000003</v>
      </c>
      <c r="G115" s="2">
        <v>0.29721900000000001</v>
      </c>
      <c r="H115" s="2">
        <v>7.4555999999999997E-2</v>
      </c>
      <c r="I115" s="2">
        <v>1.6949999999999999E-3</v>
      </c>
      <c r="J115" s="2">
        <v>0</v>
      </c>
      <c r="K115" s="2">
        <v>0</v>
      </c>
      <c r="L115" s="2">
        <v>0.22042800000000001</v>
      </c>
      <c r="M115" s="2">
        <v>0.296678</v>
      </c>
      <c r="N115" s="2">
        <v>5.9555660000000001</v>
      </c>
    </row>
    <row r="116" spans="1:14" x14ac:dyDescent="0.35">
      <c r="A116" s="2" t="s">
        <v>123</v>
      </c>
      <c r="B116" s="3">
        <f t="shared" si="1"/>
        <v>29830</v>
      </c>
      <c r="C116" s="2">
        <v>1.2967139999999999</v>
      </c>
      <c r="D116" s="2">
        <v>1.2866439999999999</v>
      </c>
      <c r="E116" s="2">
        <v>2.5534680000000001</v>
      </c>
      <c r="F116" s="2">
        <v>5.1350949999999997</v>
      </c>
      <c r="G116" s="2">
        <v>0.26911499999999999</v>
      </c>
      <c r="H116" s="2">
        <v>6.1533999999999998E-2</v>
      </c>
      <c r="I116" s="2">
        <v>1.7049999999999999E-3</v>
      </c>
      <c r="J116" s="2">
        <v>0</v>
      </c>
      <c r="K116" s="2">
        <v>0</v>
      </c>
      <c r="L116" s="2">
        <v>0.21348</v>
      </c>
      <c r="M116" s="2">
        <v>0.27672000000000002</v>
      </c>
      <c r="N116" s="2">
        <v>5.6902499999999998</v>
      </c>
    </row>
    <row r="117" spans="1:14" x14ac:dyDescent="0.35">
      <c r="A117" s="2" t="s">
        <v>124</v>
      </c>
      <c r="B117" s="3">
        <f t="shared" si="1"/>
        <v>29860</v>
      </c>
      <c r="C117" s="2">
        <v>1.284573</v>
      </c>
      <c r="D117" s="2">
        <v>1.5452939999999999</v>
      </c>
      <c r="E117" s="2">
        <v>2.6635279999999999</v>
      </c>
      <c r="F117" s="2">
        <v>5.4907459999999997</v>
      </c>
      <c r="G117" s="2">
        <v>0.22673099999999999</v>
      </c>
      <c r="H117" s="2">
        <v>6.2420000000000003E-2</v>
      </c>
      <c r="I117" s="2">
        <v>1.6819999999999999E-3</v>
      </c>
      <c r="J117" s="2">
        <v>0</v>
      </c>
      <c r="K117" s="2">
        <v>0</v>
      </c>
      <c r="L117" s="2">
        <v>0.220581</v>
      </c>
      <c r="M117" s="2">
        <v>0.28468399999999999</v>
      </c>
      <c r="N117" s="2">
        <v>6.0117919999999998</v>
      </c>
    </row>
    <row r="118" spans="1:14" x14ac:dyDescent="0.35">
      <c r="A118" s="2" t="s">
        <v>125</v>
      </c>
      <c r="B118" s="3">
        <f t="shared" si="1"/>
        <v>29891</v>
      </c>
      <c r="C118" s="2">
        <v>1.27444</v>
      </c>
      <c r="D118" s="2">
        <v>1.6471180000000001</v>
      </c>
      <c r="E118" s="2">
        <v>2.5374919999999999</v>
      </c>
      <c r="F118" s="2">
        <v>5.459212</v>
      </c>
      <c r="G118" s="2">
        <v>0.251301</v>
      </c>
      <c r="H118" s="2">
        <v>6.5459000000000003E-2</v>
      </c>
      <c r="I118" s="2">
        <v>1.4679999999999999E-3</v>
      </c>
      <c r="J118" s="2">
        <v>0</v>
      </c>
      <c r="K118" s="2">
        <v>0</v>
      </c>
      <c r="L118" s="2">
        <v>0.21343699999999999</v>
      </c>
      <c r="M118" s="2">
        <v>0.280364</v>
      </c>
      <c r="N118" s="2">
        <v>6.0001990000000003</v>
      </c>
    </row>
    <row r="119" spans="1:14" x14ac:dyDescent="0.35">
      <c r="A119" s="2" t="s">
        <v>126</v>
      </c>
      <c r="B119" s="3">
        <f t="shared" si="1"/>
        <v>29921</v>
      </c>
      <c r="C119" s="2">
        <v>1.4117230000000001</v>
      </c>
      <c r="D119" s="2">
        <v>2.1130010000000001</v>
      </c>
      <c r="E119" s="2">
        <v>2.7934730000000001</v>
      </c>
      <c r="F119" s="2">
        <v>6.3151669999999998</v>
      </c>
      <c r="G119" s="2">
        <v>0.28674300000000003</v>
      </c>
      <c r="H119" s="2">
        <v>8.2279000000000005E-2</v>
      </c>
      <c r="I119" s="2">
        <v>1.4729999999999999E-3</v>
      </c>
      <c r="J119" s="2">
        <v>0</v>
      </c>
      <c r="K119" s="2">
        <v>0</v>
      </c>
      <c r="L119" s="2">
        <v>0.22044</v>
      </c>
      <c r="M119" s="2">
        <v>0.30419299999999999</v>
      </c>
      <c r="N119" s="2">
        <v>6.9157339999999996</v>
      </c>
    </row>
    <row r="120" spans="1:14" x14ac:dyDescent="0.35">
      <c r="A120" s="2" t="s">
        <v>127</v>
      </c>
      <c r="B120" s="3">
        <f t="shared" si="1"/>
        <v>29952</v>
      </c>
      <c r="C120" s="2">
        <v>1.4888410000000001</v>
      </c>
      <c r="D120" s="2">
        <v>2.4473509999999998</v>
      </c>
      <c r="E120" s="2">
        <v>2.7049180000000002</v>
      </c>
      <c r="F120" s="2">
        <v>6.6406970000000003</v>
      </c>
      <c r="G120" s="2">
        <v>0.284331</v>
      </c>
      <c r="H120" s="2">
        <v>9.2762999999999998E-2</v>
      </c>
      <c r="I120" s="2">
        <v>1.297E-3</v>
      </c>
      <c r="J120" s="2">
        <v>0</v>
      </c>
      <c r="K120" s="2">
        <v>0</v>
      </c>
      <c r="L120" s="2">
        <v>0.22625100000000001</v>
      </c>
      <c r="M120" s="2">
        <v>0.32031100000000001</v>
      </c>
      <c r="N120" s="2">
        <v>7.2540370000000003</v>
      </c>
    </row>
    <row r="121" spans="1:14" x14ac:dyDescent="0.35">
      <c r="A121" s="2" t="s">
        <v>128</v>
      </c>
      <c r="B121" s="3">
        <f t="shared" si="1"/>
        <v>29983</v>
      </c>
      <c r="C121" s="2">
        <v>1.294926</v>
      </c>
      <c r="D121" s="2">
        <v>2.0231499999999998</v>
      </c>
      <c r="E121" s="2">
        <v>2.4338739999999999</v>
      </c>
      <c r="F121" s="2">
        <v>5.7505309999999996</v>
      </c>
      <c r="G121" s="2">
        <v>0.22353799999999999</v>
      </c>
      <c r="H121" s="2">
        <v>9.1907000000000003E-2</v>
      </c>
      <c r="I121" s="2">
        <v>1.193E-3</v>
      </c>
      <c r="J121" s="2">
        <v>0</v>
      </c>
      <c r="K121" s="2">
        <v>0</v>
      </c>
      <c r="L121" s="2">
        <v>0.204375</v>
      </c>
      <c r="M121" s="2">
        <v>0.29747499999999999</v>
      </c>
      <c r="N121" s="2">
        <v>6.2790990000000004</v>
      </c>
    </row>
    <row r="122" spans="1:14" x14ac:dyDescent="0.35">
      <c r="A122" s="2" t="s">
        <v>129</v>
      </c>
      <c r="B122" s="3">
        <f t="shared" si="1"/>
        <v>30011</v>
      </c>
      <c r="C122" s="2">
        <v>1.2622100000000001</v>
      </c>
      <c r="D122" s="2">
        <v>1.8735900000000001</v>
      </c>
      <c r="E122" s="2">
        <v>2.6069260000000001</v>
      </c>
      <c r="F122" s="2">
        <v>5.7407130000000004</v>
      </c>
      <c r="G122" s="2">
        <v>0.251971</v>
      </c>
      <c r="H122" s="2">
        <v>0.102924</v>
      </c>
      <c r="I122" s="2">
        <v>1.0510000000000001E-3</v>
      </c>
      <c r="J122" s="2">
        <v>0</v>
      </c>
      <c r="K122" s="2">
        <v>0</v>
      </c>
      <c r="L122" s="2">
        <v>0.226157</v>
      </c>
      <c r="M122" s="2">
        <v>0.33013100000000001</v>
      </c>
      <c r="N122" s="2">
        <v>6.329415</v>
      </c>
    </row>
    <row r="123" spans="1:14" x14ac:dyDescent="0.35">
      <c r="A123" s="2" t="s">
        <v>130</v>
      </c>
      <c r="B123" s="3">
        <f t="shared" si="1"/>
        <v>30042</v>
      </c>
      <c r="C123" s="2">
        <v>1.1546639999999999</v>
      </c>
      <c r="D123" s="2">
        <v>1.514599</v>
      </c>
      <c r="E123" s="2">
        <v>2.6073599999999999</v>
      </c>
      <c r="F123" s="2">
        <v>5.2759299999999998</v>
      </c>
      <c r="G123" s="2">
        <v>0.24122199999999999</v>
      </c>
      <c r="H123" s="2">
        <v>9.6303E-2</v>
      </c>
      <c r="I123" s="2">
        <v>1.06E-3</v>
      </c>
      <c r="J123" s="2">
        <v>0</v>
      </c>
      <c r="K123" s="2">
        <v>0</v>
      </c>
      <c r="L123" s="2">
        <v>0.21882099999999999</v>
      </c>
      <c r="M123" s="2">
        <v>0.31618299999999999</v>
      </c>
      <c r="N123" s="2">
        <v>5.8396410000000003</v>
      </c>
    </row>
    <row r="124" spans="1:14" x14ac:dyDescent="0.35">
      <c r="A124" s="2" t="s">
        <v>131</v>
      </c>
      <c r="B124" s="3">
        <f t="shared" si="1"/>
        <v>30072</v>
      </c>
      <c r="C124" s="2">
        <v>1.1886810000000001</v>
      </c>
      <c r="D124" s="2">
        <v>1.1583950000000001</v>
      </c>
      <c r="E124" s="2">
        <v>2.4850539999999999</v>
      </c>
      <c r="F124" s="2">
        <v>4.8296760000000001</v>
      </c>
      <c r="G124" s="2">
        <v>0.23960600000000001</v>
      </c>
      <c r="H124" s="2">
        <v>9.6572000000000005E-2</v>
      </c>
      <c r="I124" s="2">
        <v>1.2310000000000001E-3</v>
      </c>
      <c r="J124" s="2">
        <v>0</v>
      </c>
      <c r="K124" s="2">
        <v>0</v>
      </c>
      <c r="L124" s="2">
        <v>0.226135</v>
      </c>
      <c r="M124" s="2">
        <v>0.32393899999999998</v>
      </c>
      <c r="N124" s="2">
        <v>5.4005229999999997</v>
      </c>
    </row>
    <row r="125" spans="1:14" x14ac:dyDescent="0.35">
      <c r="A125" s="2" t="s">
        <v>132</v>
      </c>
      <c r="B125" s="3">
        <f t="shared" si="1"/>
        <v>30103</v>
      </c>
      <c r="C125" s="2">
        <v>1.212642</v>
      </c>
      <c r="D125" s="2">
        <v>1.136504</v>
      </c>
      <c r="E125" s="2">
        <v>2.4383789999999999</v>
      </c>
      <c r="F125" s="2">
        <v>4.7839099999999997</v>
      </c>
      <c r="G125" s="2">
        <v>0.26604</v>
      </c>
      <c r="H125" s="2">
        <v>9.6462999999999993E-2</v>
      </c>
      <c r="I125" s="2">
        <v>1.487E-3</v>
      </c>
      <c r="J125" s="2">
        <v>0</v>
      </c>
      <c r="K125" s="2">
        <v>0</v>
      </c>
      <c r="L125" s="2">
        <v>0.218866</v>
      </c>
      <c r="M125" s="2">
        <v>0.31681599999999999</v>
      </c>
      <c r="N125" s="2">
        <v>5.3705150000000001</v>
      </c>
    </row>
    <row r="126" spans="1:14" x14ac:dyDescent="0.35">
      <c r="A126" s="2" t="s">
        <v>133</v>
      </c>
      <c r="B126" s="3">
        <f t="shared" si="1"/>
        <v>30133</v>
      </c>
      <c r="C126" s="2">
        <v>1.3833979999999999</v>
      </c>
      <c r="D126" s="2">
        <v>1.167608</v>
      </c>
      <c r="E126" s="2">
        <v>2.4803459999999999</v>
      </c>
      <c r="F126" s="2">
        <v>5.0283170000000004</v>
      </c>
      <c r="G126" s="2">
        <v>0.281997</v>
      </c>
      <c r="H126" s="2">
        <v>9.4087000000000004E-2</v>
      </c>
      <c r="I126" s="2">
        <v>1.5640000000000001E-3</v>
      </c>
      <c r="J126" s="2">
        <v>0</v>
      </c>
      <c r="K126" s="2">
        <v>0</v>
      </c>
      <c r="L126" s="2">
        <v>0.22620199999999999</v>
      </c>
      <c r="M126" s="2">
        <v>0.32185399999999997</v>
      </c>
      <c r="N126" s="2">
        <v>5.6384379999999998</v>
      </c>
    </row>
    <row r="127" spans="1:14" x14ac:dyDescent="0.35">
      <c r="A127" s="2" t="s">
        <v>134</v>
      </c>
      <c r="B127" s="3">
        <f t="shared" si="1"/>
        <v>30164</v>
      </c>
      <c r="C127" s="2">
        <v>1.376905</v>
      </c>
      <c r="D127" s="2">
        <v>1.174323</v>
      </c>
      <c r="E127" s="2">
        <v>2.4979439999999999</v>
      </c>
      <c r="F127" s="2">
        <v>5.0478420000000002</v>
      </c>
      <c r="G127" s="2">
        <v>0.276671</v>
      </c>
      <c r="H127" s="2">
        <v>8.2333000000000003E-2</v>
      </c>
      <c r="I127" s="2">
        <v>1.5590000000000001E-3</v>
      </c>
      <c r="J127" s="2">
        <v>0</v>
      </c>
      <c r="K127" s="2">
        <v>0</v>
      </c>
      <c r="L127" s="2">
        <v>0.22616800000000001</v>
      </c>
      <c r="M127" s="2">
        <v>0.31005899999999997</v>
      </c>
      <c r="N127" s="2">
        <v>5.6454829999999996</v>
      </c>
    </row>
    <row r="128" spans="1:14" x14ac:dyDescent="0.35">
      <c r="A128" s="2" t="s">
        <v>135</v>
      </c>
      <c r="B128" s="3">
        <f t="shared" si="1"/>
        <v>30195</v>
      </c>
      <c r="C128" s="2">
        <v>1.22966</v>
      </c>
      <c r="D128" s="2">
        <v>1.1628989999999999</v>
      </c>
      <c r="E128" s="2">
        <v>2.4341870000000001</v>
      </c>
      <c r="F128" s="2">
        <v>4.8235640000000002</v>
      </c>
      <c r="G128" s="2">
        <v>0.28114899999999998</v>
      </c>
      <c r="H128" s="2">
        <v>6.8612000000000006E-2</v>
      </c>
      <c r="I128" s="2">
        <v>1.495E-3</v>
      </c>
      <c r="J128" s="2">
        <v>0</v>
      </c>
      <c r="K128" s="2">
        <v>0</v>
      </c>
      <c r="L128" s="2">
        <v>0.218947</v>
      </c>
      <c r="M128" s="2">
        <v>0.28905399999999998</v>
      </c>
      <c r="N128" s="2">
        <v>5.404579</v>
      </c>
    </row>
    <row r="129" spans="1:14" x14ac:dyDescent="0.35">
      <c r="A129" s="2" t="s">
        <v>136</v>
      </c>
      <c r="B129" s="3">
        <f t="shared" si="1"/>
        <v>30225</v>
      </c>
      <c r="C129" s="2">
        <v>1.192804</v>
      </c>
      <c r="D129" s="2">
        <v>1.335372</v>
      </c>
      <c r="E129" s="2">
        <v>2.4909560000000002</v>
      </c>
      <c r="F129" s="2">
        <v>5.0177569999999996</v>
      </c>
      <c r="G129" s="2">
        <v>0.25742199999999998</v>
      </c>
      <c r="H129" s="2">
        <v>6.8090999999999999E-2</v>
      </c>
      <c r="I129" s="2">
        <v>1.5920000000000001E-3</v>
      </c>
      <c r="J129" s="2">
        <v>0</v>
      </c>
      <c r="K129" s="2">
        <v>0</v>
      </c>
      <c r="L129" s="2">
        <v>0.22637299999999999</v>
      </c>
      <c r="M129" s="2">
        <v>0.29605599999999999</v>
      </c>
      <c r="N129" s="2">
        <v>5.5826900000000004</v>
      </c>
    </row>
    <row r="130" spans="1:14" x14ac:dyDescent="0.35">
      <c r="A130" s="2" t="s">
        <v>137</v>
      </c>
      <c r="B130" s="3">
        <f t="shared" si="1"/>
        <v>30256</v>
      </c>
      <c r="C130" s="2">
        <v>1.2317549999999999</v>
      </c>
      <c r="D130" s="2">
        <v>1.5897840000000001</v>
      </c>
      <c r="E130" s="2">
        <v>2.4209230000000002</v>
      </c>
      <c r="F130" s="2">
        <v>5.2410110000000003</v>
      </c>
      <c r="G130" s="2">
        <v>0.25728099999999998</v>
      </c>
      <c r="H130" s="2">
        <v>8.0244999999999997E-2</v>
      </c>
      <c r="I130" s="2">
        <v>1.6720000000000001E-3</v>
      </c>
      <c r="J130" s="2">
        <v>0</v>
      </c>
      <c r="K130" s="2">
        <v>0</v>
      </c>
      <c r="L130" s="2">
        <v>0.218948</v>
      </c>
      <c r="M130" s="2">
        <v>0.30086400000000002</v>
      </c>
      <c r="N130" s="2">
        <v>5.8098770000000002</v>
      </c>
    </row>
    <row r="131" spans="1:14" x14ac:dyDescent="0.35">
      <c r="A131" s="2" t="s">
        <v>138</v>
      </c>
      <c r="B131" s="3">
        <f t="shared" si="1"/>
        <v>30286</v>
      </c>
      <c r="C131" s="2">
        <v>1.3050740000000001</v>
      </c>
      <c r="D131" s="2">
        <v>1.772929</v>
      </c>
      <c r="E131" s="2">
        <v>2.5786280000000001</v>
      </c>
      <c r="F131" s="2">
        <v>5.6559540000000004</v>
      </c>
      <c r="G131" s="2">
        <v>0.26992100000000002</v>
      </c>
      <c r="H131" s="2">
        <v>9.5521999999999996E-2</v>
      </c>
      <c r="I131" s="2">
        <v>1.323E-3</v>
      </c>
      <c r="J131" s="2">
        <v>0</v>
      </c>
      <c r="K131" s="2">
        <v>0</v>
      </c>
      <c r="L131" s="2">
        <v>0.22620999999999999</v>
      </c>
      <c r="M131" s="2">
        <v>0.32305400000000001</v>
      </c>
      <c r="N131" s="2">
        <v>6.2585759999999997</v>
      </c>
    </row>
    <row r="132" spans="1:14" x14ac:dyDescent="0.35">
      <c r="A132" s="2" t="s">
        <v>139</v>
      </c>
      <c r="B132" s="3">
        <f t="shared" si="1"/>
        <v>30317</v>
      </c>
      <c r="C132" s="2">
        <v>1.3596870000000001</v>
      </c>
      <c r="D132" s="2">
        <v>2.2657539999999998</v>
      </c>
      <c r="E132" s="2">
        <v>2.4384209999999999</v>
      </c>
      <c r="F132" s="2">
        <v>6.0625039999999997</v>
      </c>
      <c r="G132" s="2">
        <v>0.273422</v>
      </c>
      <c r="H132" s="2">
        <v>0.100743</v>
      </c>
      <c r="I132" s="2">
        <v>1.65E-3</v>
      </c>
      <c r="J132" s="2">
        <v>0</v>
      </c>
      <c r="K132" s="2">
        <v>9.9999999999999995E-7</v>
      </c>
      <c r="L132" s="2">
        <v>0.24657499999999999</v>
      </c>
      <c r="M132" s="2">
        <v>0.34896899999999997</v>
      </c>
      <c r="N132" s="2">
        <v>6.6941920000000001</v>
      </c>
    </row>
    <row r="133" spans="1:14" x14ac:dyDescent="0.35">
      <c r="A133" s="2" t="s">
        <v>140</v>
      </c>
      <c r="B133" s="3">
        <f t="shared" si="1"/>
        <v>30348</v>
      </c>
      <c r="C133" s="2">
        <v>1.180042</v>
      </c>
      <c r="D133" s="2">
        <v>1.8880710000000001</v>
      </c>
      <c r="E133" s="2">
        <v>2.2238310000000001</v>
      </c>
      <c r="F133" s="2">
        <v>5.2908910000000002</v>
      </c>
      <c r="G133" s="2">
        <v>0.242067</v>
      </c>
      <c r="H133" s="2">
        <v>9.6206E-2</v>
      </c>
      <c r="I133" s="2">
        <v>1.2689999999999999E-3</v>
      </c>
      <c r="J133" s="2">
        <v>0</v>
      </c>
      <c r="K133" s="2">
        <v>0</v>
      </c>
      <c r="L133" s="2">
        <v>0.22273799999999999</v>
      </c>
      <c r="M133" s="2">
        <v>0.32021300000000003</v>
      </c>
      <c r="N133" s="2">
        <v>5.862584</v>
      </c>
    </row>
    <row r="134" spans="1:14" x14ac:dyDescent="0.35">
      <c r="A134" s="2" t="s">
        <v>141</v>
      </c>
      <c r="B134" s="3">
        <f t="shared" si="1"/>
        <v>30376</v>
      </c>
      <c r="C134" s="2">
        <v>1.196034</v>
      </c>
      <c r="D134" s="2">
        <v>1.788953</v>
      </c>
      <c r="E134" s="2">
        <v>2.604959</v>
      </c>
      <c r="F134" s="2">
        <v>5.5892099999999996</v>
      </c>
      <c r="G134" s="2">
        <v>0.260523</v>
      </c>
      <c r="H134" s="2">
        <v>0.104348</v>
      </c>
      <c r="I134" s="2">
        <v>1.4630000000000001E-3</v>
      </c>
      <c r="J134" s="2">
        <v>0</v>
      </c>
      <c r="K134" s="2">
        <v>9.9999999999999995E-7</v>
      </c>
      <c r="L134" s="2">
        <v>0.24661</v>
      </c>
      <c r="M134" s="2">
        <v>0.35242200000000001</v>
      </c>
      <c r="N134" s="2">
        <v>6.2114399999999996</v>
      </c>
    </row>
    <row r="135" spans="1:14" x14ac:dyDescent="0.35">
      <c r="A135" s="2" t="s">
        <v>142</v>
      </c>
      <c r="B135" s="3">
        <f t="shared" si="1"/>
        <v>30407</v>
      </c>
      <c r="C135" s="2">
        <v>1.1395500000000001</v>
      </c>
      <c r="D135" s="2">
        <v>1.533045</v>
      </c>
      <c r="E135" s="2">
        <v>2.3853010000000001</v>
      </c>
      <c r="F135" s="2">
        <v>5.0555529999999997</v>
      </c>
      <c r="G135" s="2">
        <v>0.243561</v>
      </c>
      <c r="H135" s="2">
        <v>0.103334</v>
      </c>
      <c r="I135" s="2">
        <v>1.371E-3</v>
      </c>
      <c r="J135" s="2">
        <v>0</v>
      </c>
      <c r="K135" s="2">
        <v>9.9999999999999995E-7</v>
      </c>
      <c r="L135" s="2">
        <v>0.238625</v>
      </c>
      <c r="M135" s="2">
        <v>0.343331</v>
      </c>
      <c r="N135" s="2">
        <v>5.6515519999999997</v>
      </c>
    </row>
    <row r="136" spans="1:14" x14ac:dyDescent="0.35">
      <c r="A136" s="2" t="s">
        <v>143</v>
      </c>
      <c r="B136" s="3">
        <f t="shared" si="1"/>
        <v>30437</v>
      </c>
      <c r="C136" s="2">
        <v>1.1721760000000001</v>
      </c>
      <c r="D136" s="2">
        <v>1.2602059999999999</v>
      </c>
      <c r="E136" s="2">
        <v>2.4322620000000001</v>
      </c>
      <c r="F136" s="2">
        <v>4.8629730000000002</v>
      </c>
      <c r="G136" s="2">
        <v>0.24046500000000001</v>
      </c>
      <c r="H136" s="2">
        <v>0.107568</v>
      </c>
      <c r="I136" s="2">
        <v>1.114E-3</v>
      </c>
      <c r="J136" s="2">
        <v>0</v>
      </c>
      <c r="K136" s="2">
        <v>9.9999999999999995E-7</v>
      </c>
      <c r="L136" s="2">
        <v>0.24664700000000001</v>
      </c>
      <c r="M136" s="2">
        <v>0.35532999999999998</v>
      </c>
      <c r="N136" s="2">
        <v>5.4663130000000004</v>
      </c>
    </row>
    <row r="137" spans="1:14" x14ac:dyDescent="0.35">
      <c r="A137" s="2" t="s">
        <v>144</v>
      </c>
      <c r="B137" s="3">
        <f t="shared" si="1"/>
        <v>30468</v>
      </c>
      <c r="C137" s="2">
        <v>1.2565200000000001</v>
      </c>
      <c r="D137" s="2">
        <v>1.0909219999999999</v>
      </c>
      <c r="E137" s="2">
        <v>2.4895360000000002</v>
      </c>
      <c r="F137" s="2">
        <v>4.8361140000000002</v>
      </c>
      <c r="G137" s="2">
        <v>0.263376</v>
      </c>
      <c r="H137" s="2">
        <v>0.10581</v>
      </c>
      <c r="I137" s="2">
        <v>1.4649999999999999E-3</v>
      </c>
      <c r="J137" s="2">
        <v>0</v>
      </c>
      <c r="K137" s="2">
        <v>9.9999999999999995E-7</v>
      </c>
      <c r="L137" s="2">
        <v>0.238736</v>
      </c>
      <c r="M137" s="2">
        <v>0.34601199999999999</v>
      </c>
      <c r="N137" s="2">
        <v>5.4545070000000004</v>
      </c>
    </row>
    <row r="138" spans="1:14" x14ac:dyDescent="0.35">
      <c r="A138" s="2" t="s">
        <v>145</v>
      </c>
      <c r="B138" s="3">
        <f t="shared" si="1"/>
        <v>30498</v>
      </c>
      <c r="C138" s="2">
        <v>1.499058</v>
      </c>
      <c r="D138" s="2">
        <v>1.086246</v>
      </c>
      <c r="E138" s="2">
        <v>2.517064</v>
      </c>
      <c r="F138" s="2">
        <v>5.1007540000000002</v>
      </c>
      <c r="G138" s="2">
        <v>0.27919100000000002</v>
      </c>
      <c r="H138" s="2">
        <v>9.6882999999999997E-2</v>
      </c>
      <c r="I138" s="2">
        <v>1.825E-3</v>
      </c>
      <c r="J138" s="2">
        <v>0</v>
      </c>
      <c r="K138" s="2">
        <v>0</v>
      </c>
      <c r="L138" s="2">
        <v>0.24665100000000001</v>
      </c>
      <c r="M138" s="2">
        <v>0.34535900000000003</v>
      </c>
      <c r="N138" s="2">
        <v>5.7356889999999998</v>
      </c>
    </row>
    <row r="139" spans="1:14" x14ac:dyDescent="0.35">
      <c r="A139" s="2" t="s">
        <v>146</v>
      </c>
      <c r="B139" s="3">
        <f t="shared" si="1"/>
        <v>30529</v>
      </c>
      <c r="C139" s="2">
        <v>1.5738989999999999</v>
      </c>
      <c r="D139" s="2">
        <v>1.123874</v>
      </c>
      <c r="E139" s="2">
        <v>2.6062479999999999</v>
      </c>
      <c r="F139" s="2">
        <v>5.3034090000000003</v>
      </c>
      <c r="G139" s="2">
        <v>0.28572500000000001</v>
      </c>
      <c r="H139" s="2">
        <v>8.8928999999999994E-2</v>
      </c>
      <c r="I139" s="2">
        <v>2.4009999999999999E-3</v>
      </c>
      <c r="J139" s="2">
        <v>0</v>
      </c>
      <c r="K139" s="2">
        <v>0</v>
      </c>
      <c r="L139" s="2">
        <v>0.246695</v>
      </c>
      <c r="M139" s="2">
        <v>0.33802500000000002</v>
      </c>
      <c r="N139" s="2">
        <v>5.9383679999999996</v>
      </c>
    </row>
    <row r="140" spans="1:14" x14ac:dyDescent="0.35">
      <c r="A140" s="2" t="s">
        <v>147</v>
      </c>
      <c r="B140" s="3">
        <f t="shared" si="1"/>
        <v>30560</v>
      </c>
      <c r="C140" s="2">
        <v>1.3661110000000001</v>
      </c>
      <c r="D140" s="2">
        <v>1.0605640000000001</v>
      </c>
      <c r="E140" s="2">
        <v>2.513007</v>
      </c>
      <c r="F140" s="2">
        <v>4.9387369999999997</v>
      </c>
      <c r="G140" s="2">
        <v>0.27270499999999998</v>
      </c>
      <c r="H140" s="2">
        <v>7.4807999999999999E-2</v>
      </c>
      <c r="I140" s="2">
        <v>2.1940000000000002E-3</v>
      </c>
      <c r="J140" s="2">
        <v>0</v>
      </c>
      <c r="K140" s="2">
        <v>9.9999999999999995E-7</v>
      </c>
      <c r="L140" s="2">
        <v>0.238755</v>
      </c>
      <c r="M140" s="2">
        <v>0.31575799999999998</v>
      </c>
      <c r="N140" s="2">
        <v>5.5393929999999996</v>
      </c>
    </row>
    <row r="141" spans="1:14" x14ac:dyDescent="0.35">
      <c r="A141" s="2" t="s">
        <v>148</v>
      </c>
      <c r="B141" s="3">
        <f t="shared" ref="B141:B204" si="2">DATEVALUE(MID(A141, 6, 20) &amp; " 1, " &amp; LEFT(A141, 4))</f>
        <v>30590</v>
      </c>
      <c r="C141" s="2">
        <v>1.304357</v>
      </c>
      <c r="D141" s="2">
        <v>1.125246</v>
      </c>
      <c r="E141" s="2">
        <v>2.5050539999999999</v>
      </c>
      <c r="F141" s="2">
        <v>4.9339139999999997</v>
      </c>
      <c r="G141" s="2">
        <v>0.28131400000000001</v>
      </c>
      <c r="H141" s="2">
        <v>7.1490999999999999E-2</v>
      </c>
      <c r="I141" s="2">
        <v>2.3E-3</v>
      </c>
      <c r="J141" s="2">
        <v>0</v>
      </c>
      <c r="K141" s="2">
        <v>1.9999999999999999E-6</v>
      </c>
      <c r="L141" s="2">
        <v>0.24673200000000001</v>
      </c>
      <c r="M141" s="2">
        <v>0.32052399999999998</v>
      </c>
      <c r="N141" s="2">
        <v>5.5477249999999998</v>
      </c>
    </row>
    <row r="142" spans="1:14" x14ac:dyDescent="0.35">
      <c r="A142" s="2" t="s">
        <v>149</v>
      </c>
      <c r="B142" s="3">
        <f t="shared" si="2"/>
        <v>30621</v>
      </c>
      <c r="C142" s="2">
        <v>1.325008</v>
      </c>
      <c r="D142" s="2">
        <v>1.316659</v>
      </c>
      <c r="E142" s="2">
        <v>2.5045860000000002</v>
      </c>
      <c r="F142" s="2">
        <v>5.145302</v>
      </c>
      <c r="G142" s="2">
        <v>0.27273500000000001</v>
      </c>
      <c r="H142" s="2">
        <v>8.4956000000000004E-2</v>
      </c>
      <c r="I142" s="2">
        <v>2.0470000000000002E-3</v>
      </c>
      <c r="J142" s="2">
        <v>0</v>
      </c>
      <c r="K142" s="2">
        <v>9.9999999999999995E-7</v>
      </c>
      <c r="L142" s="2">
        <v>0.23877999999999999</v>
      </c>
      <c r="M142" s="2">
        <v>0.32578499999999999</v>
      </c>
      <c r="N142" s="2">
        <v>5.7543509999999998</v>
      </c>
    </row>
    <row r="143" spans="1:14" x14ac:dyDescent="0.35">
      <c r="A143" s="2" t="s">
        <v>150</v>
      </c>
      <c r="B143" s="3">
        <f t="shared" si="2"/>
        <v>30651</v>
      </c>
      <c r="C143" s="2">
        <v>1.5219780000000001</v>
      </c>
      <c r="D143" s="2">
        <v>1.6812959999999999</v>
      </c>
      <c r="E143" s="2">
        <v>2.776983</v>
      </c>
      <c r="F143" s="2">
        <v>5.9775119999999999</v>
      </c>
      <c r="G143" s="2">
        <v>0.28746500000000003</v>
      </c>
      <c r="H143" s="2">
        <v>0.10893600000000001</v>
      </c>
      <c r="I143" s="2">
        <v>1.6299999999999999E-3</v>
      </c>
      <c r="J143" s="2">
        <v>0</v>
      </c>
      <c r="K143" s="2">
        <v>0</v>
      </c>
      <c r="L143" s="2">
        <v>0.24687100000000001</v>
      </c>
      <c r="M143" s="2">
        <v>0.357437</v>
      </c>
      <c r="N143" s="2">
        <v>6.6330210000000003</v>
      </c>
    </row>
    <row r="144" spans="1:14" x14ac:dyDescent="0.35">
      <c r="A144" s="2" t="s">
        <v>151</v>
      </c>
      <c r="B144" s="3">
        <f t="shared" si="2"/>
        <v>30682</v>
      </c>
      <c r="C144" s="2">
        <v>1.5515209999999999</v>
      </c>
      <c r="D144" s="2">
        <v>2.3992469999999999</v>
      </c>
      <c r="E144" s="2">
        <v>2.8040080000000001</v>
      </c>
      <c r="F144" s="2">
        <v>6.7555319999999996</v>
      </c>
      <c r="G144" s="2">
        <v>0.31784400000000002</v>
      </c>
      <c r="H144" s="2">
        <v>0.10245899999999999</v>
      </c>
      <c r="I144" s="2">
        <v>1.665E-3</v>
      </c>
      <c r="J144" s="2">
        <v>0</v>
      </c>
      <c r="K144" s="2">
        <v>0</v>
      </c>
      <c r="L144" s="2">
        <v>0.25148300000000001</v>
      </c>
      <c r="M144" s="2">
        <v>0.35560700000000001</v>
      </c>
      <c r="N144" s="2">
        <v>7.4396019999999998</v>
      </c>
    </row>
    <row r="145" spans="1:14" x14ac:dyDescent="0.35">
      <c r="A145" s="2" t="s">
        <v>152</v>
      </c>
      <c r="B145" s="3">
        <f t="shared" si="2"/>
        <v>30713</v>
      </c>
      <c r="C145" s="2">
        <v>1.3589899999999999</v>
      </c>
      <c r="D145" s="2">
        <v>2.0051049999999999</v>
      </c>
      <c r="E145" s="2">
        <v>2.4040949999999999</v>
      </c>
      <c r="F145" s="2">
        <v>5.7702070000000001</v>
      </c>
      <c r="G145" s="2">
        <v>0.30832599999999999</v>
      </c>
      <c r="H145" s="2">
        <v>9.6033999999999994E-2</v>
      </c>
      <c r="I145" s="2">
        <v>2.0339999999999998E-3</v>
      </c>
      <c r="J145" s="2">
        <v>0</v>
      </c>
      <c r="K145" s="2">
        <v>9.9999999999999995E-7</v>
      </c>
      <c r="L145" s="2">
        <v>0.23516899999999999</v>
      </c>
      <c r="M145" s="2">
        <v>0.33323799999999998</v>
      </c>
      <c r="N145" s="2">
        <v>6.4210950000000002</v>
      </c>
    </row>
    <row r="146" spans="1:14" x14ac:dyDescent="0.35">
      <c r="A146" s="2" t="s">
        <v>153</v>
      </c>
      <c r="B146" s="3">
        <f t="shared" si="2"/>
        <v>30742</v>
      </c>
      <c r="C146" s="2">
        <v>1.402844</v>
      </c>
      <c r="D146" s="2">
        <v>1.887051</v>
      </c>
      <c r="E146" s="2">
        <v>2.6845940000000001</v>
      </c>
      <c r="F146" s="2">
        <v>5.9735139999999998</v>
      </c>
      <c r="G146" s="2">
        <v>0.29649900000000001</v>
      </c>
      <c r="H146" s="2">
        <v>0.10480100000000001</v>
      </c>
      <c r="I146" s="2">
        <v>2.235E-3</v>
      </c>
      <c r="J146" s="2">
        <v>9.9999999999999995E-7</v>
      </c>
      <c r="K146" s="2">
        <v>9.9999999999999995E-7</v>
      </c>
      <c r="L146" s="2">
        <v>0.251529</v>
      </c>
      <c r="M146" s="2">
        <v>0.358566</v>
      </c>
      <c r="N146" s="2">
        <v>6.6381990000000002</v>
      </c>
    </row>
    <row r="147" spans="1:14" x14ac:dyDescent="0.35">
      <c r="A147" s="2" t="s">
        <v>154</v>
      </c>
      <c r="B147" s="3">
        <f t="shared" si="2"/>
        <v>30773</v>
      </c>
      <c r="C147" s="2">
        <v>1.2716209999999999</v>
      </c>
      <c r="D147" s="2">
        <v>1.6399349999999999</v>
      </c>
      <c r="E147" s="2">
        <v>2.5206230000000001</v>
      </c>
      <c r="F147" s="2">
        <v>5.4317460000000004</v>
      </c>
      <c r="G147" s="2">
        <v>0.26273800000000003</v>
      </c>
      <c r="H147" s="2">
        <v>0.10327</v>
      </c>
      <c r="I147" s="2">
        <v>2.2049999999999999E-3</v>
      </c>
      <c r="J147" s="2">
        <v>9.9999999999999995E-7</v>
      </c>
      <c r="K147" s="2">
        <v>1.9999999999999999E-6</v>
      </c>
      <c r="L147" s="2">
        <v>0.24327699999999999</v>
      </c>
      <c r="M147" s="2">
        <v>0.34875600000000001</v>
      </c>
      <c r="N147" s="2">
        <v>6.0531930000000003</v>
      </c>
    </row>
    <row r="148" spans="1:14" x14ac:dyDescent="0.35">
      <c r="A148" s="2" t="s">
        <v>155</v>
      </c>
      <c r="B148" s="3">
        <f t="shared" si="2"/>
        <v>30803</v>
      </c>
      <c r="C148" s="2">
        <v>1.2979419999999999</v>
      </c>
      <c r="D148" s="2">
        <v>1.380376</v>
      </c>
      <c r="E148" s="2">
        <v>2.608349</v>
      </c>
      <c r="F148" s="2">
        <v>5.2860969999999998</v>
      </c>
      <c r="G148" s="2">
        <v>0.28047100000000003</v>
      </c>
      <c r="H148" s="2">
        <v>0.109683</v>
      </c>
      <c r="I148" s="2">
        <v>2.1150000000000001E-3</v>
      </c>
      <c r="J148" s="2">
        <v>1.9999999999999999E-6</v>
      </c>
      <c r="K148" s="2">
        <v>3.0000000000000001E-6</v>
      </c>
      <c r="L148" s="2">
        <v>0.25140800000000002</v>
      </c>
      <c r="M148" s="2">
        <v>0.36321199999999998</v>
      </c>
      <c r="N148" s="2">
        <v>5.9404700000000004</v>
      </c>
    </row>
    <row r="149" spans="1:14" x14ac:dyDescent="0.35">
      <c r="A149" s="2" t="s">
        <v>156</v>
      </c>
      <c r="B149" s="3">
        <f t="shared" si="2"/>
        <v>30834</v>
      </c>
      <c r="C149" s="2">
        <v>1.439065</v>
      </c>
      <c r="D149" s="2">
        <v>1.2046110000000001</v>
      </c>
      <c r="E149" s="2">
        <v>2.5473460000000001</v>
      </c>
      <c r="F149" s="2">
        <v>5.1885810000000001</v>
      </c>
      <c r="G149" s="2">
        <v>0.27432099999999998</v>
      </c>
      <c r="H149" s="2">
        <v>9.9261000000000002E-2</v>
      </c>
      <c r="I149" s="2">
        <v>2.0530000000000001E-3</v>
      </c>
      <c r="J149" s="2">
        <v>3.0000000000000001E-6</v>
      </c>
      <c r="K149" s="2">
        <v>1.9999999999999999E-6</v>
      </c>
      <c r="L149" s="2">
        <v>0.24330299999999999</v>
      </c>
      <c r="M149" s="2">
        <v>0.34462300000000001</v>
      </c>
      <c r="N149" s="2">
        <v>5.817787</v>
      </c>
    </row>
    <row r="150" spans="1:14" x14ac:dyDescent="0.35">
      <c r="A150" s="2" t="s">
        <v>157</v>
      </c>
      <c r="B150" s="3">
        <f t="shared" si="2"/>
        <v>30864</v>
      </c>
      <c r="C150" s="2">
        <v>1.51922</v>
      </c>
      <c r="D150" s="2">
        <v>1.1808050000000001</v>
      </c>
      <c r="E150" s="2">
        <v>2.589785</v>
      </c>
      <c r="F150" s="2">
        <v>5.288875</v>
      </c>
      <c r="G150" s="2">
        <v>0.30668699999999999</v>
      </c>
      <c r="H150" s="2">
        <v>9.4771999999999995E-2</v>
      </c>
      <c r="I150" s="2">
        <v>1.9599999999999999E-3</v>
      </c>
      <c r="J150" s="2">
        <v>9.9999999999999995E-7</v>
      </c>
      <c r="K150" s="2">
        <v>1.9999999999999999E-6</v>
      </c>
      <c r="L150" s="2">
        <v>0.25163200000000002</v>
      </c>
      <c r="M150" s="2">
        <v>0.34836600000000001</v>
      </c>
      <c r="N150" s="2">
        <v>5.9562609999999996</v>
      </c>
    </row>
    <row r="151" spans="1:14" x14ac:dyDescent="0.35">
      <c r="A151" s="2" t="s">
        <v>158</v>
      </c>
      <c r="B151" s="3">
        <f t="shared" si="2"/>
        <v>30895</v>
      </c>
      <c r="C151" s="2">
        <v>1.5868549999999999</v>
      </c>
      <c r="D151" s="2">
        <v>1.181397</v>
      </c>
      <c r="E151" s="2">
        <v>2.6978430000000002</v>
      </c>
      <c r="F151" s="2">
        <v>5.4641700000000002</v>
      </c>
      <c r="G151" s="2">
        <v>0.31979299999999999</v>
      </c>
      <c r="H151" s="2">
        <v>8.6572999999999997E-2</v>
      </c>
      <c r="I151" s="2">
        <v>2.454E-3</v>
      </c>
      <c r="J151" s="2">
        <v>3.0000000000000001E-6</v>
      </c>
      <c r="K151" s="2">
        <v>9.9999999999999995E-7</v>
      </c>
      <c r="L151" s="2">
        <v>0.25163799999999997</v>
      </c>
      <c r="M151" s="2">
        <v>0.340669</v>
      </c>
      <c r="N151" s="2">
        <v>6.1397300000000001</v>
      </c>
    </row>
    <row r="152" spans="1:14" x14ac:dyDescent="0.35">
      <c r="A152" s="2" t="s">
        <v>159</v>
      </c>
      <c r="B152" s="3">
        <f t="shared" si="2"/>
        <v>30926</v>
      </c>
      <c r="C152" s="2">
        <v>1.3835440000000001</v>
      </c>
      <c r="D152" s="2">
        <v>1.1104350000000001</v>
      </c>
      <c r="E152" s="2">
        <v>2.468375</v>
      </c>
      <c r="F152" s="2">
        <v>4.9619150000000003</v>
      </c>
      <c r="G152" s="2">
        <v>0.316027</v>
      </c>
      <c r="H152" s="2">
        <v>7.2076000000000001E-2</v>
      </c>
      <c r="I152" s="2">
        <v>2.2100000000000002E-3</v>
      </c>
      <c r="J152" s="2">
        <v>3.0000000000000001E-6</v>
      </c>
      <c r="K152" s="2">
        <v>1.9999999999999999E-6</v>
      </c>
      <c r="L152" s="2">
        <v>0.24359600000000001</v>
      </c>
      <c r="M152" s="2">
        <v>0.31788699999999998</v>
      </c>
      <c r="N152" s="2">
        <v>5.6081519999999996</v>
      </c>
    </row>
    <row r="153" spans="1:14" x14ac:dyDescent="0.35">
      <c r="A153" s="2" t="s">
        <v>160</v>
      </c>
      <c r="B153" s="3">
        <f t="shared" si="2"/>
        <v>30956</v>
      </c>
      <c r="C153" s="2">
        <v>1.395014</v>
      </c>
      <c r="D153" s="2">
        <v>1.2085129999999999</v>
      </c>
      <c r="E153" s="2">
        <v>2.599145</v>
      </c>
      <c r="F153" s="2">
        <v>5.1992500000000001</v>
      </c>
      <c r="G153" s="2">
        <v>0.268621</v>
      </c>
      <c r="H153" s="2">
        <v>7.1968000000000004E-2</v>
      </c>
      <c r="I153" s="2">
        <v>2.4260000000000002E-3</v>
      </c>
      <c r="J153" s="2">
        <v>1.9999999999999999E-6</v>
      </c>
      <c r="K153" s="2">
        <v>3.0000000000000001E-6</v>
      </c>
      <c r="L153" s="2">
        <v>0.25197399999999998</v>
      </c>
      <c r="M153" s="2">
        <v>0.32637300000000002</v>
      </c>
      <c r="N153" s="2">
        <v>5.8077259999999997</v>
      </c>
    </row>
    <row r="154" spans="1:14" x14ac:dyDescent="0.35">
      <c r="A154" s="2" t="s">
        <v>161</v>
      </c>
      <c r="B154" s="3">
        <f t="shared" si="2"/>
        <v>30987</v>
      </c>
      <c r="C154" s="2">
        <v>1.393904</v>
      </c>
      <c r="D154" s="2">
        <v>1.424191</v>
      </c>
      <c r="E154" s="2">
        <v>2.521827</v>
      </c>
      <c r="F154" s="2">
        <v>5.3373410000000003</v>
      </c>
      <c r="G154" s="2">
        <v>0.26646199999999998</v>
      </c>
      <c r="H154" s="2">
        <v>7.6703999999999994E-2</v>
      </c>
      <c r="I154" s="2">
        <v>2.3960000000000001E-3</v>
      </c>
      <c r="J154" s="2">
        <v>9.9999999999999995E-7</v>
      </c>
      <c r="K154" s="2">
        <v>3.0000000000000001E-6</v>
      </c>
      <c r="L154" s="2">
        <v>0.24406800000000001</v>
      </c>
      <c r="M154" s="2">
        <v>0.32317200000000001</v>
      </c>
      <c r="N154" s="2">
        <v>5.9378549999999999</v>
      </c>
    </row>
    <row r="155" spans="1:14" x14ac:dyDescent="0.35">
      <c r="A155" s="2" t="s">
        <v>162</v>
      </c>
      <c r="B155" s="3">
        <f t="shared" si="2"/>
        <v>31017</v>
      </c>
      <c r="C155" s="2">
        <v>1.4701029999999999</v>
      </c>
      <c r="D155" s="2">
        <v>1.7719419999999999</v>
      </c>
      <c r="E155" s="2">
        <v>2.547104</v>
      </c>
      <c r="F155" s="2">
        <v>5.7886059999999997</v>
      </c>
      <c r="G155" s="2">
        <v>0.33474199999999998</v>
      </c>
      <c r="H155" s="2">
        <v>8.8949E-2</v>
      </c>
      <c r="I155" s="2">
        <v>2.6559999999999999E-3</v>
      </c>
      <c r="J155" s="2">
        <v>0</v>
      </c>
      <c r="K155" s="2">
        <v>3.9999999999999998E-6</v>
      </c>
      <c r="L155" s="2">
        <v>0.25204199999999999</v>
      </c>
      <c r="M155" s="2">
        <v>0.34365200000000001</v>
      </c>
      <c r="N155" s="2">
        <v>6.4777399999999998</v>
      </c>
    </row>
    <row r="156" spans="1:14" x14ac:dyDescent="0.35">
      <c r="A156" s="2" t="s">
        <v>163</v>
      </c>
      <c r="B156" s="3">
        <f t="shared" si="2"/>
        <v>31048</v>
      </c>
      <c r="C156" s="2">
        <v>1.599226</v>
      </c>
      <c r="D156" s="2">
        <v>2.1558229999999998</v>
      </c>
      <c r="E156" s="2">
        <v>2.6723910000000002</v>
      </c>
      <c r="F156" s="2">
        <v>6.4278899999999997</v>
      </c>
      <c r="G156" s="2">
        <v>0.38437100000000002</v>
      </c>
      <c r="H156" s="2">
        <v>9.4973000000000002E-2</v>
      </c>
      <c r="I156" s="2">
        <v>2.6410000000000001E-3</v>
      </c>
      <c r="J156" s="2">
        <v>1.9999999999999999E-6</v>
      </c>
      <c r="K156" s="2">
        <v>1.9999999999999999E-6</v>
      </c>
      <c r="L156" s="2">
        <v>0.25631500000000002</v>
      </c>
      <c r="M156" s="2">
        <v>0.353933</v>
      </c>
      <c r="N156" s="2">
        <v>7.1759820000000003</v>
      </c>
    </row>
    <row r="157" spans="1:14" x14ac:dyDescent="0.35">
      <c r="A157" s="2" t="s">
        <v>164</v>
      </c>
      <c r="B157" s="3">
        <f t="shared" si="2"/>
        <v>31079</v>
      </c>
      <c r="C157" s="2">
        <v>1.4053949999999999</v>
      </c>
      <c r="D157" s="2">
        <v>2.2067649999999999</v>
      </c>
      <c r="E157" s="2">
        <v>2.4194339999999999</v>
      </c>
      <c r="F157" s="2">
        <v>6.0330300000000001</v>
      </c>
      <c r="G157" s="2">
        <v>0.32729000000000003</v>
      </c>
      <c r="H157" s="2">
        <v>8.9219000000000007E-2</v>
      </c>
      <c r="I157" s="2">
        <v>2.3319999999999999E-3</v>
      </c>
      <c r="J157" s="2">
        <v>0</v>
      </c>
      <c r="K157" s="2">
        <v>3.9999999999999998E-6</v>
      </c>
      <c r="L157" s="2">
        <v>0.231512</v>
      </c>
      <c r="M157" s="2">
        <v>0.32306699999999999</v>
      </c>
      <c r="N157" s="2">
        <v>6.6914930000000004</v>
      </c>
    </row>
    <row r="158" spans="1:14" x14ac:dyDescent="0.35">
      <c r="A158" s="2" t="s">
        <v>165</v>
      </c>
      <c r="B158" s="3">
        <f t="shared" si="2"/>
        <v>31107</v>
      </c>
      <c r="C158" s="2">
        <v>1.3857440000000001</v>
      </c>
      <c r="D158" s="2">
        <v>1.7672049999999999</v>
      </c>
      <c r="E158" s="2">
        <v>2.557334</v>
      </c>
      <c r="F158" s="2">
        <v>5.7103929999999998</v>
      </c>
      <c r="G158" s="2">
        <v>0.32972000000000001</v>
      </c>
      <c r="H158" s="2">
        <v>8.5028999999999993E-2</v>
      </c>
      <c r="I158" s="2">
        <v>2.715E-3</v>
      </c>
      <c r="J158" s="2">
        <v>0</v>
      </c>
      <c r="K158" s="2">
        <v>1.9999999999999999E-6</v>
      </c>
      <c r="L158" s="2">
        <v>0.25633600000000001</v>
      </c>
      <c r="M158" s="2">
        <v>0.34408300000000003</v>
      </c>
      <c r="N158" s="2">
        <v>6.3966329999999996</v>
      </c>
    </row>
    <row r="159" spans="1:14" x14ac:dyDescent="0.35">
      <c r="A159" s="2" t="s">
        <v>166</v>
      </c>
      <c r="B159" s="3">
        <f t="shared" si="2"/>
        <v>31138</v>
      </c>
      <c r="C159" s="2">
        <v>1.3194239999999999</v>
      </c>
      <c r="D159" s="2">
        <v>1.481028</v>
      </c>
      <c r="E159" s="2">
        <v>2.5014340000000002</v>
      </c>
      <c r="F159" s="2">
        <v>5.3024050000000003</v>
      </c>
      <c r="G159" s="2">
        <v>0.28104000000000001</v>
      </c>
      <c r="H159" s="2">
        <v>8.4276000000000004E-2</v>
      </c>
      <c r="I159" s="2">
        <v>2.3779999999999999E-3</v>
      </c>
      <c r="J159" s="2">
        <v>3.9999999999999998E-6</v>
      </c>
      <c r="K159" s="2">
        <v>1.9999999999999999E-6</v>
      </c>
      <c r="L159" s="2">
        <v>0.24759900000000001</v>
      </c>
      <c r="M159" s="2">
        <v>0.33425899999999997</v>
      </c>
      <c r="N159" s="2">
        <v>5.9274519999999997</v>
      </c>
    </row>
    <row r="160" spans="1:14" x14ac:dyDescent="0.35">
      <c r="A160" s="2" t="s">
        <v>167</v>
      </c>
      <c r="B160" s="3">
        <f t="shared" si="2"/>
        <v>31168</v>
      </c>
      <c r="C160" s="2">
        <v>1.3844449999999999</v>
      </c>
      <c r="D160" s="2">
        <v>1.17293</v>
      </c>
      <c r="E160" s="2">
        <v>2.5920540000000001</v>
      </c>
      <c r="F160" s="2">
        <v>5.1464090000000002</v>
      </c>
      <c r="G160" s="2">
        <v>0.30482300000000001</v>
      </c>
      <c r="H160" s="2">
        <v>9.1284000000000004E-2</v>
      </c>
      <c r="I160" s="2">
        <v>2.4729999999999999E-3</v>
      </c>
      <c r="J160" s="2">
        <v>5.0000000000000004E-6</v>
      </c>
      <c r="K160" s="2">
        <v>9.9999999999999995E-7</v>
      </c>
      <c r="L160" s="2">
        <v>0.25588100000000003</v>
      </c>
      <c r="M160" s="2">
        <v>0.34964400000000001</v>
      </c>
      <c r="N160" s="2">
        <v>5.8120279999999998</v>
      </c>
    </row>
    <row r="161" spans="1:14" x14ac:dyDescent="0.35">
      <c r="A161" s="2" t="s">
        <v>168</v>
      </c>
      <c r="B161" s="3">
        <f t="shared" si="2"/>
        <v>31199</v>
      </c>
      <c r="C161" s="2">
        <v>1.4310609999999999</v>
      </c>
      <c r="D161" s="2">
        <v>1.100814</v>
      </c>
      <c r="E161" s="2">
        <v>2.503708</v>
      </c>
      <c r="F161" s="2">
        <v>5.0334490000000001</v>
      </c>
      <c r="G161" s="2">
        <v>0.32755000000000001</v>
      </c>
      <c r="H161" s="2">
        <v>8.2424999999999998E-2</v>
      </c>
      <c r="I161" s="2">
        <v>2.382E-3</v>
      </c>
      <c r="J161" s="2">
        <v>5.0000000000000004E-6</v>
      </c>
      <c r="K161" s="2">
        <v>9.9999999999999995E-7</v>
      </c>
      <c r="L161" s="2">
        <v>0.247643</v>
      </c>
      <c r="M161" s="2">
        <v>0.332457</v>
      </c>
      <c r="N161" s="2">
        <v>5.7056069999999997</v>
      </c>
    </row>
    <row r="162" spans="1:14" x14ac:dyDescent="0.35">
      <c r="A162" s="2" t="s">
        <v>169</v>
      </c>
      <c r="B162" s="3">
        <f t="shared" si="2"/>
        <v>31229</v>
      </c>
      <c r="C162" s="2">
        <v>1.584552</v>
      </c>
      <c r="D162" s="2">
        <v>1.14242</v>
      </c>
      <c r="E162" s="2">
        <v>2.5843449999999999</v>
      </c>
      <c r="F162" s="2">
        <v>5.3096350000000001</v>
      </c>
      <c r="G162" s="2">
        <v>0.37372699999999998</v>
      </c>
      <c r="H162" s="2">
        <v>7.3611999999999997E-2</v>
      </c>
      <c r="I162" s="2">
        <v>2.6189999999999998E-3</v>
      </c>
      <c r="J162" s="2">
        <v>3.9999999999999998E-6</v>
      </c>
      <c r="K162" s="2">
        <v>0</v>
      </c>
      <c r="L162" s="2">
        <v>0.25615900000000003</v>
      </c>
      <c r="M162" s="2">
        <v>0.33239299999999999</v>
      </c>
      <c r="N162" s="2">
        <v>6.030259</v>
      </c>
    </row>
    <row r="163" spans="1:14" x14ac:dyDescent="0.35">
      <c r="A163" s="2" t="s">
        <v>170</v>
      </c>
      <c r="B163" s="3">
        <f t="shared" si="2"/>
        <v>31260</v>
      </c>
      <c r="C163" s="2">
        <v>1.5618879999999999</v>
      </c>
      <c r="D163" s="2">
        <v>1.141786</v>
      </c>
      <c r="E163" s="2">
        <v>2.6935519999999999</v>
      </c>
      <c r="F163" s="2">
        <v>5.3958690000000002</v>
      </c>
      <c r="G163" s="2">
        <v>0.36977500000000002</v>
      </c>
      <c r="H163" s="2">
        <v>6.898E-2</v>
      </c>
      <c r="I163" s="2">
        <v>2.7369999999999998E-3</v>
      </c>
      <c r="J163" s="2">
        <v>6.9999999999999999E-6</v>
      </c>
      <c r="K163" s="2">
        <v>9.9999999999999995E-7</v>
      </c>
      <c r="L163" s="2">
        <v>0.256301</v>
      </c>
      <c r="M163" s="2">
        <v>0.32802599999999998</v>
      </c>
      <c r="N163" s="2">
        <v>6.1091009999999999</v>
      </c>
    </row>
    <row r="164" spans="1:14" x14ac:dyDescent="0.35">
      <c r="A164" s="2" t="s">
        <v>171</v>
      </c>
      <c r="B164" s="3">
        <f t="shared" si="2"/>
        <v>31291</v>
      </c>
      <c r="C164" s="2">
        <v>1.424542</v>
      </c>
      <c r="D164" s="2">
        <v>1.0653410000000001</v>
      </c>
      <c r="E164" s="2">
        <v>2.4385300000000001</v>
      </c>
      <c r="F164" s="2">
        <v>4.9256169999999999</v>
      </c>
      <c r="G164" s="2">
        <v>0.36654100000000001</v>
      </c>
      <c r="H164" s="2">
        <v>6.4760999999999999E-2</v>
      </c>
      <c r="I164" s="2">
        <v>2.6020000000000001E-3</v>
      </c>
      <c r="J164" s="2">
        <v>5.0000000000000004E-6</v>
      </c>
      <c r="K164" s="2">
        <v>3.0000000000000001E-6</v>
      </c>
      <c r="L164" s="2">
        <v>0.247997</v>
      </c>
      <c r="M164" s="2">
        <v>0.31536700000000001</v>
      </c>
      <c r="N164" s="2">
        <v>5.6200929999999998</v>
      </c>
    </row>
    <row r="165" spans="1:14" x14ac:dyDescent="0.35">
      <c r="A165" s="2" t="s">
        <v>172</v>
      </c>
      <c r="B165" s="3">
        <f t="shared" si="2"/>
        <v>31321</v>
      </c>
      <c r="C165" s="2">
        <v>1.389491</v>
      </c>
      <c r="D165" s="2">
        <v>1.1718770000000001</v>
      </c>
      <c r="E165" s="2">
        <v>2.6476820000000001</v>
      </c>
      <c r="F165" s="2">
        <v>5.2077929999999997</v>
      </c>
      <c r="G165" s="2">
        <v>0.33146100000000001</v>
      </c>
      <c r="H165" s="2">
        <v>6.9105E-2</v>
      </c>
      <c r="I165" s="2">
        <v>2.4910000000000002E-3</v>
      </c>
      <c r="J165" s="2">
        <v>3.0000000000000001E-6</v>
      </c>
      <c r="K165" s="2">
        <v>1.9999999999999999E-6</v>
      </c>
      <c r="L165" s="2">
        <v>0.25617499999999999</v>
      </c>
      <c r="M165" s="2">
        <v>0.32777600000000001</v>
      </c>
      <c r="N165" s="2">
        <v>5.8786160000000001</v>
      </c>
    </row>
    <row r="166" spans="1:14" x14ac:dyDescent="0.35">
      <c r="A166" s="2" t="s">
        <v>173</v>
      </c>
      <c r="B166" s="3">
        <f t="shared" si="2"/>
        <v>31352</v>
      </c>
      <c r="C166" s="2">
        <v>1.385921</v>
      </c>
      <c r="D166" s="2">
        <v>1.3457539999999999</v>
      </c>
      <c r="E166" s="2">
        <v>2.4991629999999998</v>
      </c>
      <c r="F166" s="2">
        <v>5.2280879999999996</v>
      </c>
      <c r="G166" s="2">
        <v>0.32042799999999999</v>
      </c>
      <c r="H166" s="2">
        <v>7.9075000000000006E-2</v>
      </c>
      <c r="I166" s="2">
        <v>3.075E-3</v>
      </c>
      <c r="J166" s="2">
        <v>9.9999999999999995E-7</v>
      </c>
      <c r="K166" s="2">
        <v>9.9999999999999995E-7</v>
      </c>
      <c r="L166" s="2">
        <v>0.24807000000000001</v>
      </c>
      <c r="M166" s="2">
        <v>0.33022200000000002</v>
      </c>
      <c r="N166" s="2">
        <v>5.8897339999999998</v>
      </c>
    </row>
    <row r="167" spans="1:14" x14ac:dyDescent="0.35">
      <c r="A167" s="2" t="s">
        <v>174</v>
      </c>
      <c r="B167" s="3">
        <f t="shared" si="2"/>
        <v>31382</v>
      </c>
      <c r="C167" s="2">
        <v>1.6067389999999999</v>
      </c>
      <c r="D167" s="2">
        <v>1.9517169999999999</v>
      </c>
      <c r="E167" s="2">
        <v>2.757676</v>
      </c>
      <c r="F167" s="2">
        <v>6.3151210000000004</v>
      </c>
      <c r="G167" s="2">
        <v>0.35883700000000002</v>
      </c>
      <c r="H167" s="2">
        <v>8.7328000000000003E-2</v>
      </c>
      <c r="I167" s="2">
        <v>3.372E-3</v>
      </c>
      <c r="J167" s="2">
        <v>9.9999999999999995E-7</v>
      </c>
      <c r="K167" s="2">
        <v>0</v>
      </c>
      <c r="L167" s="2">
        <v>0.25624599999999997</v>
      </c>
      <c r="M167" s="2">
        <v>0.34694700000000001</v>
      </c>
      <c r="N167" s="2">
        <v>7.0320919999999996</v>
      </c>
    </row>
    <row r="168" spans="1:14" x14ac:dyDescent="0.35">
      <c r="A168" s="2" t="s">
        <v>175</v>
      </c>
      <c r="B168" s="3">
        <f t="shared" si="2"/>
        <v>31413</v>
      </c>
      <c r="C168" s="2">
        <v>1.628376</v>
      </c>
      <c r="D168" s="2">
        <v>2.2052109999999998</v>
      </c>
      <c r="E168" s="2">
        <v>2.6804920000000001</v>
      </c>
      <c r="F168" s="2">
        <v>6.5140330000000004</v>
      </c>
      <c r="G168" s="2">
        <v>0.38315900000000003</v>
      </c>
      <c r="H168" s="2">
        <v>7.3934E-2</v>
      </c>
      <c r="I168" s="2">
        <v>3.4380000000000001E-3</v>
      </c>
      <c r="J168" s="2">
        <v>1.9999999999999999E-6</v>
      </c>
      <c r="K168" s="2">
        <v>9.9999999999999995E-7</v>
      </c>
      <c r="L168" s="2">
        <v>0.24917800000000001</v>
      </c>
      <c r="M168" s="2">
        <v>0.32655200000000001</v>
      </c>
      <c r="N168" s="2">
        <v>7.2360360000000004</v>
      </c>
    </row>
    <row r="169" spans="1:14" x14ac:dyDescent="0.35">
      <c r="A169" s="2" t="s">
        <v>176</v>
      </c>
      <c r="B169" s="3">
        <f t="shared" si="2"/>
        <v>31444</v>
      </c>
      <c r="C169" s="2">
        <v>1.4126879999999999</v>
      </c>
      <c r="D169" s="2">
        <v>1.930555</v>
      </c>
      <c r="E169" s="2">
        <v>2.4429409999999998</v>
      </c>
      <c r="F169" s="2">
        <v>5.7858859999999996</v>
      </c>
      <c r="G169" s="2">
        <v>0.34615600000000002</v>
      </c>
      <c r="H169" s="2">
        <v>8.0074999999999993E-2</v>
      </c>
      <c r="I169" s="2">
        <v>2.9529999999999999E-3</v>
      </c>
      <c r="J169" s="2">
        <v>1.9999999999999999E-6</v>
      </c>
      <c r="K169" s="2">
        <v>9.9999999999999995E-7</v>
      </c>
      <c r="L169" s="2">
        <v>0.22492200000000001</v>
      </c>
      <c r="M169" s="2">
        <v>0.307952</v>
      </c>
      <c r="N169" s="2">
        <v>6.4492289999999999</v>
      </c>
    </row>
    <row r="170" spans="1:14" x14ac:dyDescent="0.35">
      <c r="A170" s="2" t="s">
        <v>177</v>
      </c>
      <c r="B170" s="3">
        <f t="shared" si="2"/>
        <v>31472</v>
      </c>
      <c r="C170" s="2">
        <v>1.385114</v>
      </c>
      <c r="D170" s="2">
        <v>1.7723850000000001</v>
      </c>
      <c r="E170" s="2">
        <v>2.7271010000000002</v>
      </c>
      <c r="F170" s="2">
        <v>5.8837279999999996</v>
      </c>
      <c r="G170" s="2">
        <v>0.32554899999999998</v>
      </c>
      <c r="H170" s="2">
        <v>9.8081000000000002E-2</v>
      </c>
      <c r="I170" s="2">
        <v>3.0709999999999999E-3</v>
      </c>
      <c r="J170" s="2">
        <v>3.0000000000000001E-6</v>
      </c>
      <c r="K170" s="2">
        <v>1.9999999999999999E-6</v>
      </c>
      <c r="L170" s="2">
        <v>0.248837</v>
      </c>
      <c r="M170" s="2">
        <v>0.349995</v>
      </c>
      <c r="N170" s="2">
        <v>6.5674219999999996</v>
      </c>
    </row>
    <row r="171" spans="1:14" x14ac:dyDescent="0.35">
      <c r="A171" s="2" t="s">
        <v>178</v>
      </c>
      <c r="B171" s="3">
        <f t="shared" si="2"/>
        <v>31503</v>
      </c>
      <c r="C171" s="2">
        <v>1.264564</v>
      </c>
      <c r="D171" s="2">
        <v>1.3802289999999999</v>
      </c>
      <c r="E171" s="2">
        <v>2.5947580000000001</v>
      </c>
      <c r="F171" s="2">
        <v>5.2391370000000004</v>
      </c>
      <c r="G171" s="2">
        <v>0.32241300000000001</v>
      </c>
      <c r="H171" s="2">
        <v>9.4922000000000006E-2</v>
      </c>
      <c r="I171" s="2">
        <v>2.7690000000000002E-3</v>
      </c>
      <c r="J171" s="2">
        <v>5.0000000000000004E-6</v>
      </c>
      <c r="K171" s="2">
        <v>1.9999999999999999E-6</v>
      </c>
      <c r="L171" s="2">
        <v>0.240788</v>
      </c>
      <c r="M171" s="2">
        <v>0.33848699999999998</v>
      </c>
      <c r="N171" s="2">
        <v>5.9081409999999996</v>
      </c>
    </row>
    <row r="172" spans="1:14" x14ac:dyDescent="0.35">
      <c r="A172" s="2" t="s">
        <v>179</v>
      </c>
      <c r="B172" s="3">
        <f t="shared" si="2"/>
        <v>31533</v>
      </c>
      <c r="C172" s="2">
        <v>1.32118</v>
      </c>
      <c r="D172" s="2">
        <v>1.192312</v>
      </c>
      <c r="E172" s="2">
        <v>2.6961010000000001</v>
      </c>
      <c r="F172" s="2">
        <v>5.2069380000000001</v>
      </c>
      <c r="G172" s="2">
        <v>0.337725</v>
      </c>
      <c r="H172" s="2">
        <v>9.3958E-2</v>
      </c>
      <c r="I172" s="2">
        <v>2.7980000000000001E-3</v>
      </c>
      <c r="J172" s="2">
        <v>6.0000000000000002E-6</v>
      </c>
      <c r="K172" s="2">
        <v>3.0000000000000001E-6</v>
      </c>
      <c r="L172" s="2">
        <v>0.24882199999999999</v>
      </c>
      <c r="M172" s="2">
        <v>0.34558699999999998</v>
      </c>
      <c r="N172" s="2">
        <v>5.8998980000000003</v>
      </c>
    </row>
    <row r="173" spans="1:14" x14ac:dyDescent="0.35">
      <c r="A173" s="2" t="s">
        <v>180</v>
      </c>
      <c r="B173" s="3">
        <f t="shared" si="2"/>
        <v>31564</v>
      </c>
      <c r="C173" s="2">
        <v>1.46356</v>
      </c>
      <c r="D173" s="2">
        <v>1.0592189999999999</v>
      </c>
      <c r="E173" s="2">
        <v>2.6247760000000002</v>
      </c>
      <c r="F173" s="2">
        <v>5.1476949999999997</v>
      </c>
      <c r="G173" s="2">
        <v>0.33148100000000003</v>
      </c>
      <c r="H173" s="2">
        <v>9.0562000000000004E-2</v>
      </c>
      <c r="I173" s="2">
        <v>3.0360000000000001E-3</v>
      </c>
      <c r="J173" s="2">
        <v>5.0000000000000004E-6</v>
      </c>
      <c r="K173" s="2">
        <v>1.9999999999999999E-6</v>
      </c>
      <c r="L173" s="2">
        <v>0.240837</v>
      </c>
      <c r="M173" s="2">
        <v>0.33444200000000002</v>
      </c>
      <c r="N173" s="2">
        <v>5.8228549999999997</v>
      </c>
    </row>
    <row r="174" spans="1:14" x14ac:dyDescent="0.35">
      <c r="A174" s="2" t="s">
        <v>181</v>
      </c>
      <c r="B174" s="3">
        <f t="shared" si="2"/>
        <v>31594</v>
      </c>
      <c r="C174" s="2">
        <v>1.64801</v>
      </c>
      <c r="D174" s="2">
        <v>1.053847</v>
      </c>
      <c r="E174" s="2">
        <v>2.7508979999999998</v>
      </c>
      <c r="F174" s="2">
        <v>5.4510389999999997</v>
      </c>
      <c r="G174" s="2">
        <v>0.379718</v>
      </c>
      <c r="H174" s="2">
        <v>8.3094000000000001E-2</v>
      </c>
      <c r="I174" s="2">
        <v>3.2209999999999999E-3</v>
      </c>
      <c r="J174" s="2">
        <v>6.0000000000000002E-6</v>
      </c>
      <c r="K174" s="2">
        <v>1.9999999999999999E-6</v>
      </c>
      <c r="L174" s="2">
        <v>0.24901100000000001</v>
      </c>
      <c r="M174" s="2">
        <v>0.33533400000000002</v>
      </c>
      <c r="N174" s="2">
        <v>6.1762499999999996</v>
      </c>
    </row>
    <row r="175" spans="1:14" x14ac:dyDescent="0.35">
      <c r="A175" s="2" t="s">
        <v>182</v>
      </c>
      <c r="B175" s="3">
        <f t="shared" si="2"/>
        <v>31625</v>
      </c>
      <c r="C175" s="2">
        <v>1.5150110000000001</v>
      </c>
      <c r="D175" s="2">
        <v>1.016637</v>
      </c>
      <c r="E175" s="2">
        <v>2.8054100000000002</v>
      </c>
      <c r="F175" s="2">
        <v>5.3313620000000004</v>
      </c>
      <c r="G175" s="2">
        <v>0.396534</v>
      </c>
      <c r="H175" s="2">
        <v>7.3104000000000002E-2</v>
      </c>
      <c r="I175" s="2">
        <v>3.2139999999999998E-3</v>
      </c>
      <c r="J175" s="2">
        <v>6.0000000000000002E-6</v>
      </c>
      <c r="K175" s="2">
        <v>1.9999999999999999E-6</v>
      </c>
      <c r="L175" s="2">
        <v>0.24917600000000001</v>
      </c>
      <c r="M175" s="2">
        <v>0.32550099999999998</v>
      </c>
      <c r="N175" s="2">
        <v>6.0663539999999996</v>
      </c>
    </row>
    <row r="176" spans="1:14" x14ac:dyDescent="0.35">
      <c r="A176" s="2" t="s">
        <v>183</v>
      </c>
      <c r="B176" s="3">
        <f t="shared" si="2"/>
        <v>31656</v>
      </c>
      <c r="C176" s="2">
        <v>1.401321</v>
      </c>
      <c r="D176" s="2">
        <v>0.96008400000000005</v>
      </c>
      <c r="E176" s="2">
        <v>2.586916</v>
      </c>
      <c r="F176" s="2">
        <v>4.9479040000000003</v>
      </c>
      <c r="G176" s="2">
        <v>0.38711299999999998</v>
      </c>
      <c r="H176" s="2">
        <v>7.2766999999999998E-2</v>
      </c>
      <c r="I176" s="2">
        <v>2.6930000000000001E-3</v>
      </c>
      <c r="J176" s="2">
        <v>5.0000000000000004E-6</v>
      </c>
      <c r="K176" s="2">
        <v>0</v>
      </c>
      <c r="L176" s="2">
        <v>0.24107400000000001</v>
      </c>
      <c r="M176" s="2">
        <v>0.31653900000000001</v>
      </c>
      <c r="N176" s="2">
        <v>5.6630630000000002</v>
      </c>
    </row>
    <row r="177" spans="1:14" x14ac:dyDescent="0.35">
      <c r="A177" s="2" t="s">
        <v>184</v>
      </c>
      <c r="B177" s="3">
        <f t="shared" si="2"/>
        <v>31686</v>
      </c>
      <c r="C177" s="2">
        <v>1.3559540000000001</v>
      </c>
      <c r="D177" s="2">
        <v>1.037874</v>
      </c>
      <c r="E177" s="2">
        <v>2.7711649999999999</v>
      </c>
      <c r="F177" s="2">
        <v>5.1643990000000004</v>
      </c>
      <c r="G177" s="2">
        <v>0.38310300000000003</v>
      </c>
      <c r="H177" s="2">
        <v>7.3497999999999994E-2</v>
      </c>
      <c r="I177" s="2">
        <v>2.647E-3</v>
      </c>
      <c r="J177" s="2">
        <v>3.9999999999999998E-6</v>
      </c>
      <c r="K177" s="2">
        <v>9.9999999999999995E-7</v>
      </c>
      <c r="L177" s="2">
        <v>0.248974</v>
      </c>
      <c r="M177" s="2">
        <v>0.325125</v>
      </c>
      <c r="N177" s="2">
        <v>5.8829219999999998</v>
      </c>
    </row>
    <row r="178" spans="1:14" x14ac:dyDescent="0.35">
      <c r="A178" s="2" t="s">
        <v>185</v>
      </c>
      <c r="B178" s="3">
        <f t="shared" si="2"/>
        <v>31717</v>
      </c>
      <c r="C178" s="2">
        <v>1.366752</v>
      </c>
      <c r="D178" s="2">
        <v>1.271522</v>
      </c>
      <c r="E178" s="2">
        <v>2.6127379999999998</v>
      </c>
      <c r="F178" s="2">
        <v>5.247547</v>
      </c>
      <c r="G178" s="2">
        <v>0.369674</v>
      </c>
      <c r="H178" s="2">
        <v>7.9755000000000006E-2</v>
      </c>
      <c r="I178" s="2">
        <v>2.2910000000000001E-3</v>
      </c>
      <c r="J178" s="2">
        <v>3.0000000000000001E-6</v>
      </c>
      <c r="K178" s="2">
        <v>0</v>
      </c>
      <c r="L178" s="2">
        <v>0.241122</v>
      </c>
      <c r="M178" s="2">
        <v>0.32317200000000001</v>
      </c>
      <c r="N178" s="2">
        <v>5.9501160000000004</v>
      </c>
    </row>
    <row r="179" spans="1:14" x14ac:dyDescent="0.35">
      <c r="A179" s="2" t="s">
        <v>186</v>
      </c>
      <c r="B179" s="3">
        <f t="shared" si="2"/>
        <v>31747</v>
      </c>
      <c r="C179" s="2">
        <v>1.497876</v>
      </c>
      <c r="D179" s="2">
        <v>1.711484</v>
      </c>
      <c r="E179" s="2">
        <v>2.857621</v>
      </c>
      <c r="F179" s="2">
        <v>6.0662580000000004</v>
      </c>
      <c r="G179" s="2">
        <v>0.41748400000000002</v>
      </c>
      <c r="H179" s="2">
        <v>8.9397000000000004E-2</v>
      </c>
      <c r="I179" s="2">
        <v>3.0379999999999999E-3</v>
      </c>
      <c r="J179" s="2">
        <v>9.9999999999999995E-7</v>
      </c>
      <c r="K179" s="2">
        <v>0</v>
      </c>
      <c r="L179" s="2">
        <v>0.24935199999999999</v>
      </c>
      <c r="M179" s="2">
        <v>0.34178700000000001</v>
      </c>
      <c r="N179" s="2">
        <v>6.836703</v>
      </c>
    </row>
    <row r="180" spans="1:14" x14ac:dyDescent="0.35">
      <c r="A180" s="2" t="s">
        <v>187</v>
      </c>
      <c r="B180" s="3">
        <f t="shared" si="2"/>
        <v>31778</v>
      </c>
      <c r="C180" s="2">
        <v>1.5631569999999999</v>
      </c>
      <c r="D180" s="2">
        <v>2.179929</v>
      </c>
      <c r="E180" s="2">
        <v>2.778384</v>
      </c>
      <c r="F180" s="2">
        <v>6.5203680000000004</v>
      </c>
      <c r="G180" s="2">
        <v>0.41741699999999998</v>
      </c>
      <c r="H180" s="2">
        <v>8.7702000000000002E-2</v>
      </c>
      <c r="I180" s="2">
        <v>3.0509999999999999E-3</v>
      </c>
      <c r="J180" s="2">
        <v>0</v>
      </c>
      <c r="K180" s="2">
        <v>0</v>
      </c>
      <c r="L180" s="2">
        <v>0.24413699999999999</v>
      </c>
      <c r="M180" s="2">
        <v>0.33489000000000002</v>
      </c>
      <c r="N180" s="2">
        <v>7.2859590000000001</v>
      </c>
    </row>
    <row r="181" spans="1:14" x14ac:dyDescent="0.35">
      <c r="A181" s="2" t="s">
        <v>188</v>
      </c>
      <c r="B181" s="3">
        <f t="shared" si="2"/>
        <v>31809</v>
      </c>
      <c r="C181" s="2">
        <v>1.357526</v>
      </c>
      <c r="D181" s="2">
        <v>1.9689160000000001</v>
      </c>
      <c r="E181" s="2">
        <v>2.5518869999999998</v>
      </c>
      <c r="F181" s="2">
        <v>5.8793110000000004</v>
      </c>
      <c r="G181" s="2">
        <v>0.38215900000000003</v>
      </c>
      <c r="H181" s="2">
        <v>7.3263999999999996E-2</v>
      </c>
      <c r="I181" s="2">
        <v>2.8289999999999999E-3</v>
      </c>
      <c r="J181" s="2">
        <v>1.9999999999999999E-6</v>
      </c>
      <c r="K181" s="2">
        <v>0</v>
      </c>
      <c r="L181" s="2">
        <v>0.22051100000000001</v>
      </c>
      <c r="M181" s="2">
        <v>0.29660599999999998</v>
      </c>
      <c r="N181" s="2">
        <v>6.5727960000000003</v>
      </c>
    </row>
    <row r="182" spans="1:14" x14ac:dyDescent="0.35">
      <c r="A182" s="2" t="s">
        <v>189</v>
      </c>
      <c r="B182" s="3">
        <f t="shared" si="2"/>
        <v>31837</v>
      </c>
      <c r="C182" s="2">
        <v>1.372447</v>
      </c>
      <c r="D182" s="2">
        <v>1.7930999999999999</v>
      </c>
      <c r="E182" s="2">
        <v>2.6999870000000001</v>
      </c>
      <c r="F182" s="2">
        <v>5.863944</v>
      </c>
      <c r="G182" s="2">
        <v>0.38938200000000001</v>
      </c>
      <c r="H182" s="2">
        <v>8.0279000000000003E-2</v>
      </c>
      <c r="I182" s="2">
        <v>3.1020000000000002E-3</v>
      </c>
      <c r="J182" s="2">
        <v>3.0000000000000001E-6</v>
      </c>
      <c r="K182" s="2">
        <v>0</v>
      </c>
      <c r="L182" s="2">
        <v>0.24415700000000001</v>
      </c>
      <c r="M182" s="2">
        <v>0.32754100000000003</v>
      </c>
      <c r="N182" s="2">
        <v>6.5957949999999999</v>
      </c>
    </row>
    <row r="183" spans="1:14" x14ac:dyDescent="0.35">
      <c r="A183" s="2" t="s">
        <v>190</v>
      </c>
      <c r="B183" s="3">
        <f t="shared" si="2"/>
        <v>31868</v>
      </c>
      <c r="C183" s="2">
        <v>1.322692</v>
      </c>
      <c r="D183" s="2">
        <v>1.4729490000000001</v>
      </c>
      <c r="E183" s="2">
        <v>2.6746989999999999</v>
      </c>
      <c r="F183" s="2">
        <v>5.4707610000000004</v>
      </c>
      <c r="G183" s="2">
        <v>0.34999200000000003</v>
      </c>
      <c r="H183" s="2">
        <v>7.6162999999999995E-2</v>
      </c>
      <c r="I183" s="2">
        <v>2.9239999999999999E-3</v>
      </c>
      <c r="J183" s="2">
        <v>3.9999999999999998E-6</v>
      </c>
      <c r="K183" s="2">
        <v>0</v>
      </c>
      <c r="L183" s="2">
        <v>0.23613899999999999</v>
      </c>
      <c r="M183" s="2">
        <v>0.31523099999999998</v>
      </c>
      <c r="N183" s="2">
        <v>6.1514430000000004</v>
      </c>
    </row>
    <row r="184" spans="1:14" x14ac:dyDescent="0.35">
      <c r="A184" s="2" t="s">
        <v>191</v>
      </c>
      <c r="B184" s="3">
        <f t="shared" si="2"/>
        <v>31898</v>
      </c>
      <c r="C184" s="2">
        <v>1.4190560000000001</v>
      </c>
      <c r="D184" s="2">
        <v>1.2129239999999999</v>
      </c>
      <c r="E184" s="2">
        <v>2.6872669999999999</v>
      </c>
      <c r="F184" s="2">
        <v>5.3196839999999996</v>
      </c>
      <c r="G184" s="2">
        <v>0.35837400000000003</v>
      </c>
      <c r="H184" s="2">
        <v>8.3711999999999995E-2</v>
      </c>
      <c r="I184" s="2">
        <v>3.0720000000000001E-3</v>
      </c>
      <c r="J184" s="2">
        <v>3.9999999999999998E-6</v>
      </c>
      <c r="K184" s="2">
        <v>9.9999999999999995E-7</v>
      </c>
      <c r="L184" s="2">
        <v>0.244007</v>
      </c>
      <c r="M184" s="2">
        <v>0.33079700000000001</v>
      </c>
      <c r="N184" s="2">
        <v>6.0210210000000002</v>
      </c>
    </row>
    <row r="185" spans="1:14" x14ac:dyDescent="0.35">
      <c r="A185" s="2" t="s">
        <v>192</v>
      </c>
      <c r="B185" s="3">
        <f t="shared" si="2"/>
        <v>31929</v>
      </c>
      <c r="C185" s="2">
        <v>1.5536220000000001</v>
      </c>
      <c r="D185" s="2">
        <v>1.125283</v>
      </c>
      <c r="E185" s="2">
        <v>2.7372179999999999</v>
      </c>
      <c r="F185" s="2">
        <v>5.4176320000000002</v>
      </c>
      <c r="G185" s="2">
        <v>0.38175999999999999</v>
      </c>
      <c r="H185" s="2">
        <v>7.2271000000000002E-2</v>
      </c>
      <c r="I185" s="2">
        <v>3.1549999999999998E-3</v>
      </c>
      <c r="J185" s="2">
        <v>6.0000000000000002E-6</v>
      </c>
      <c r="K185" s="2">
        <v>3.0000000000000001E-6</v>
      </c>
      <c r="L185" s="2">
        <v>0.23652200000000001</v>
      </c>
      <c r="M185" s="2">
        <v>0.31195699999999998</v>
      </c>
      <c r="N185" s="2">
        <v>6.125305</v>
      </c>
    </row>
    <row r="186" spans="1:14" x14ac:dyDescent="0.35">
      <c r="A186" s="2" t="s">
        <v>193</v>
      </c>
      <c r="B186" s="3">
        <f t="shared" si="2"/>
        <v>31959</v>
      </c>
      <c r="C186" s="2">
        <v>1.731657</v>
      </c>
      <c r="D186" s="2">
        <v>1.118428</v>
      </c>
      <c r="E186" s="2">
        <v>2.8745129999999999</v>
      </c>
      <c r="F186" s="2">
        <v>5.7248640000000002</v>
      </c>
      <c r="G186" s="2">
        <v>0.41826000000000002</v>
      </c>
      <c r="H186" s="2">
        <v>6.9863999999999996E-2</v>
      </c>
      <c r="I186" s="2">
        <v>3.2620000000000001E-3</v>
      </c>
      <c r="J186" s="2">
        <v>6.0000000000000002E-6</v>
      </c>
      <c r="K186" s="2">
        <v>3.9999999999999998E-6</v>
      </c>
      <c r="L186" s="2">
        <v>0.24435899999999999</v>
      </c>
      <c r="M186" s="2">
        <v>0.31749500000000003</v>
      </c>
      <c r="N186" s="2">
        <v>6.4764629999999999</v>
      </c>
    </row>
    <row r="187" spans="1:14" x14ac:dyDescent="0.35">
      <c r="A187" s="2" t="s">
        <v>194</v>
      </c>
      <c r="B187" s="3">
        <f t="shared" si="2"/>
        <v>31990</v>
      </c>
      <c r="C187" s="2">
        <v>1.7199519999999999</v>
      </c>
      <c r="D187" s="2">
        <v>1.151681</v>
      </c>
      <c r="E187" s="2">
        <v>2.7463009999999999</v>
      </c>
      <c r="F187" s="2">
        <v>5.6185729999999996</v>
      </c>
      <c r="G187" s="2">
        <v>0.43180099999999999</v>
      </c>
      <c r="H187" s="2">
        <v>6.3743999999999995E-2</v>
      </c>
      <c r="I187" s="2">
        <v>3.2499999999999999E-3</v>
      </c>
      <c r="J187" s="2">
        <v>3.9999999999999998E-6</v>
      </c>
      <c r="K187" s="2">
        <v>9.9999999999999995E-7</v>
      </c>
      <c r="L187" s="2">
        <v>0.244396</v>
      </c>
      <c r="M187" s="2">
        <v>0.31139499999999998</v>
      </c>
      <c r="N187" s="2">
        <v>6.3769640000000001</v>
      </c>
    </row>
    <row r="188" spans="1:14" x14ac:dyDescent="0.35">
      <c r="A188" s="2" t="s">
        <v>195</v>
      </c>
      <c r="B188" s="3">
        <f t="shared" si="2"/>
        <v>32021</v>
      </c>
      <c r="C188" s="2">
        <v>1.484318</v>
      </c>
      <c r="D188" s="2">
        <v>1.0689759999999999</v>
      </c>
      <c r="E188" s="2">
        <v>2.7042109999999999</v>
      </c>
      <c r="F188" s="2">
        <v>5.2613500000000002</v>
      </c>
      <c r="G188" s="2">
        <v>0.41419099999999998</v>
      </c>
      <c r="H188" s="2">
        <v>6.2756000000000006E-2</v>
      </c>
      <c r="I188" s="2">
        <v>3.032E-3</v>
      </c>
      <c r="J188" s="2">
        <v>3.0000000000000001E-6</v>
      </c>
      <c r="K188" s="2">
        <v>9.9999999999999995E-7</v>
      </c>
      <c r="L188" s="2">
        <v>0.23629800000000001</v>
      </c>
      <c r="M188" s="2">
        <v>0.30209000000000003</v>
      </c>
      <c r="N188" s="2">
        <v>5.9887689999999996</v>
      </c>
    </row>
    <row r="189" spans="1:14" x14ac:dyDescent="0.35">
      <c r="A189" s="2" t="s">
        <v>196</v>
      </c>
      <c r="B189" s="3">
        <f t="shared" si="2"/>
        <v>32051</v>
      </c>
      <c r="C189" s="2">
        <v>1.4480630000000001</v>
      </c>
      <c r="D189" s="2">
        <v>1.2501329999999999</v>
      </c>
      <c r="E189" s="2">
        <v>2.8276159999999999</v>
      </c>
      <c r="F189" s="2">
        <v>5.5279059999999998</v>
      </c>
      <c r="G189" s="2">
        <v>0.38104500000000002</v>
      </c>
      <c r="H189" s="2">
        <v>6.1963999999999998E-2</v>
      </c>
      <c r="I189" s="2">
        <v>3.0699999999999998E-3</v>
      </c>
      <c r="J189" s="2">
        <v>1.9999999999999999E-6</v>
      </c>
      <c r="K189" s="2">
        <v>0</v>
      </c>
      <c r="L189" s="2">
        <v>0.244059</v>
      </c>
      <c r="M189" s="2">
        <v>0.30909500000000001</v>
      </c>
      <c r="N189" s="2">
        <v>6.229209</v>
      </c>
    </row>
    <row r="190" spans="1:14" x14ac:dyDescent="0.35">
      <c r="A190" s="2" t="s">
        <v>197</v>
      </c>
      <c r="B190" s="3">
        <f t="shared" si="2"/>
        <v>32082</v>
      </c>
      <c r="C190" s="2">
        <v>1.433762</v>
      </c>
      <c r="D190" s="2">
        <v>1.4507749999999999</v>
      </c>
      <c r="E190" s="2">
        <v>2.6308980000000002</v>
      </c>
      <c r="F190" s="2">
        <v>5.5179980000000004</v>
      </c>
      <c r="G190" s="2">
        <v>0.39092399999999999</v>
      </c>
      <c r="H190" s="2">
        <v>5.8271999999999997E-2</v>
      </c>
      <c r="I190" s="2">
        <v>2.9680000000000002E-3</v>
      </c>
      <c r="J190" s="2">
        <v>9.9999999999999995E-7</v>
      </c>
      <c r="K190" s="2">
        <v>0</v>
      </c>
      <c r="L190" s="2">
        <v>0.23619699999999999</v>
      </c>
      <c r="M190" s="2">
        <v>0.29743900000000001</v>
      </c>
      <c r="N190" s="2">
        <v>6.2162879999999996</v>
      </c>
    </row>
    <row r="191" spans="1:14" x14ac:dyDescent="0.35">
      <c r="A191" s="2" t="s">
        <v>198</v>
      </c>
      <c r="B191" s="3">
        <f t="shared" si="2"/>
        <v>32112</v>
      </c>
      <c r="C191" s="2">
        <v>1.602198</v>
      </c>
      <c r="D191" s="2">
        <v>1.846705</v>
      </c>
      <c r="E191" s="2">
        <v>2.9053770000000001</v>
      </c>
      <c r="F191" s="2">
        <v>6.352849</v>
      </c>
      <c r="G191" s="2">
        <v>0.43862699999999999</v>
      </c>
      <c r="H191" s="2">
        <v>7.2752999999999998E-2</v>
      </c>
      <c r="I191" s="2">
        <v>3.0490000000000001E-3</v>
      </c>
      <c r="J191" s="2">
        <v>9.9999999999999995E-7</v>
      </c>
      <c r="K191" s="2">
        <v>9.9999999999999995E-7</v>
      </c>
      <c r="L191" s="2">
        <v>0.24410399999999999</v>
      </c>
      <c r="M191" s="2">
        <v>0.31990800000000003</v>
      </c>
      <c r="N191" s="2">
        <v>7.1217050000000004</v>
      </c>
    </row>
    <row r="192" spans="1:14" x14ac:dyDescent="0.35">
      <c r="A192" s="2" t="s">
        <v>199</v>
      </c>
      <c r="B192" s="3">
        <f t="shared" si="2"/>
        <v>32143</v>
      </c>
      <c r="C192" s="2">
        <v>1.6842140000000001</v>
      </c>
      <c r="D192" s="2">
        <v>2.2378830000000001</v>
      </c>
      <c r="E192" s="2">
        <v>2.8955839999999999</v>
      </c>
      <c r="F192" s="2">
        <v>6.8209140000000001</v>
      </c>
      <c r="G192" s="2">
        <v>0.47346899999999997</v>
      </c>
      <c r="H192" s="2">
        <v>7.6171000000000003E-2</v>
      </c>
      <c r="I192" s="2">
        <v>3.078E-3</v>
      </c>
      <c r="J192" s="2">
        <v>1.9999999999999999E-6</v>
      </c>
      <c r="K192" s="2">
        <v>1.9999999999999999E-6</v>
      </c>
      <c r="L192" s="2">
        <v>0.25533099999999997</v>
      </c>
      <c r="M192" s="2">
        <v>0.33458300000000002</v>
      </c>
      <c r="N192" s="2">
        <v>7.639767</v>
      </c>
    </row>
    <row r="193" spans="1:14" x14ac:dyDescent="0.35">
      <c r="A193" s="2" t="s">
        <v>200</v>
      </c>
      <c r="B193" s="3">
        <f t="shared" si="2"/>
        <v>32174</v>
      </c>
      <c r="C193" s="2">
        <v>1.5391490000000001</v>
      </c>
      <c r="D193" s="2">
        <v>2.085677</v>
      </c>
      <c r="E193" s="2">
        <v>2.775957</v>
      </c>
      <c r="F193" s="2">
        <v>6.402514</v>
      </c>
      <c r="G193" s="2">
        <v>0.44789200000000001</v>
      </c>
      <c r="H193" s="2">
        <v>6.6029000000000004E-2</v>
      </c>
      <c r="I193" s="2">
        <v>2.6480000000000002E-3</v>
      </c>
      <c r="J193" s="2">
        <v>3.0000000000000001E-6</v>
      </c>
      <c r="K193" s="2">
        <v>0</v>
      </c>
      <c r="L193" s="2">
        <v>0.23885300000000001</v>
      </c>
      <c r="M193" s="2">
        <v>0.307533</v>
      </c>
      <c r="N193" s="2">
        <v>7.1690560000000003</v>
      </c>
    </row>
    <row r="194" spans="1:14" x14ac:dyDescent="0.35">
      <c r="A194" s="2" t="s">
        <v>201</v>
      </c>
      <c r="B194" s="3">
        <f t="shared" si="2"/>
        <v>32203</v>
      </c>
      <c r="C194" s="2">
        <v>1.4855799999999999</v>
      </c>
      <c r="D194" s="2">
        <v>1.9109860000000001</v>
      </c>
      <c r="E194" s="2">
        <v>2.9490370000000001</v>
      </c>
      <c r="F194" s="2">
        <v>6.3513580000000003</v>
      </c>
      <c r="G194" s="2">
        <v>0.465555</v>
      </c>
      <c r="H194" s="2">
        <v>6.7539000000000002E-2</v>
      </c>
      <c r="I194" s="2">
        <v>3.0869999999999999E-3</v>
      </c>
      <c r="J194" s="2">
        <v>3.9999999999999998E-6</v>
      </c>
      <c r="K194" s="2">
        <v>0</v>
      </c>
      <c r="L194" s="2">
        <v>0.25538499999999997</v>
      </c>
      <c r="M194" s="2">
        <v>0.326015</v>
      </c>
      <c r="N194" s="2">
        <v>7.1536629999999999</v>
      </c>
    </row>
    <row r="195" spans="1:14" x14ac:dyDescent="0.35">
      <c r="A195" s="2" t="s">
        <v>202</v>
      </c>
      <c r="B195" s="3">
        <f t="shared" si="2"/>
        <v>32234</v>
      </c>
      <c r="C195" s="2">
        <v>1.368241</v>
      </c>
      <c r="D195" s="2">
        <v>1.498021</v>
      </c>
      <c r="E195" s="2">
        <v>2.689981</v>
      </c>
      <c r="F195" s="2">
        <v>5.5603920000000002</v>
      </c>
      <c r="G195" s="2">
        <v>0.424786</v>
      </c>
      <c r="H195" s="2">
        <v>6.6195000000000004E-2</v>
      </c>
      <c r="I195" s="2">
        <v>2.794E-3</v>
      </c>
      <c r="J195" s="2">
        <v>1.9999999999999999E-6</v>
      </c>
      <c r="K195" s="2">
        <v>0</v>
      </c>
      <c r="L195" s="2">
        <v>0.24724099999999999</v>
      </c>
      <c r="M195" s="2">
        <v>0.31623200000000001</v>
      </c>
      <c r="N195" s="2">
        <v>6.3100449999999997</v>
      </c>
    </row>
    <row r="196" spans="1:14" x14ac:dyDescent="0.35">
      <c r="A196" s="2" t="s">
        <v>203</v>
      </c>
      <c r="B196" s="3">
        <f t="shared" si="2"/>
        <v>32264</v>
      </c>
      <c r="C196" s="2">
        <v>1.4184540000000001</v>
      </c>
      <c r="D196" s="2">
        <v>1.3331329999999999</v>
      </c>
      <c r="E196" s="2">
        <v>2.7161710000000001</v>
      </c>
      <c r="F196" s="2">
        <v>5.4662009999999999</v>
      </c>
      <c r="G196" s="2">
        <v>0.430975</v>
      </c>
      <c r="H196" s="2">
        <v>7.3601E-2</v>
      </c>
      <c r="I196" s="2">
        <v>2.7469999999999999E-3</v>
      </c>
      <c r="J196" s="2">
        <v>3.9999999999999998E-6</v>
      </c>
      <c r="K196" s="2">
        <v>0</v>
      </c>
      <c r="L196" s="2">
        <v>0.25518800000000003</v>
      </c>
      <c r="M196" s="2">
        <v>0.33153899999999997</v>
      </c>
      <c r="N196" s="2">
        <v>6.2361630000000003</v>
      </c>
    </row>
    <row r="197" spans="1:14" x14ac:dyDescent="0.35">
      <c r="A197" s="2" t="s">
        <v>204</v>
      </c>
      <c r="B197" s="3">
        <f t="shared" si="2"/>
        <v>32295</v>
      </c>
      <c r="C197" s="2">
        <v>1.601226</v>
      </c>
      <c r="D197" s="2">
        <v>1.19723</v>
      </c>
      <c r="E197" s="2">
        <v>2.7744589999999998</v>
      </c>
      <c r="F197" s="2">
        <v>5.5776409999999998</v>
      </c>
      <c r="G197" s="2">
        <v>0.46732600000000002</v>
      </c>
      <c r="H197" s="2">
        <v>6.5346000000000001E-2</v>
      </c>
      <c r="I197" s="2">
        <v>2.9129999999999998E-3</v>
      </c>
      <c r="J197" s="2">
        <v>5.0000000000000004E-6</v>
      </c>
      <c r="K197" s="2">
        <v>0</v>
      </c>
      <c r="L197" s="2">
        <v>0.24734</v>
      </c>
      <c r="M197" s="2">
        <v>0.31560300000000002</v>
      </c>
      <c r="N197" s="2">
        <v>6.3694499999999996</v>
      </c>
    </row>
    <row r="198" spans="1:14" x14ac:dyDescent="0.35">
      <c r="A198" s="2" t="s">
        <v>205</v>
      </c>
      <c r="B198" s="3">
        <f t="shared" si="2"/>
        <v>32325</v>
      </c>
      <c r="C198" s="2">
        <v>1.7487649999999999</v>
      </c>
      <c r="D198" s="2">
        <v>1.203533</v>
      </c>
      <c r="E198" s="2">
        <v>2.8044549999999999</v>
      </c>
      <c r="F198" s="2">
        <v>5.763547</v>
      </c>
      <c r="G198" s="2">
        <v>0.528281</v>
      </c>
      <c r="H198" s="2">
        <v>5.8636000000000001E-2</v>
      </c>
      <c r="I198" s="2">
        <v>3.1689999999999999E-3</v>
      </c>
      <c r="J198" s="2">
        <v>3.9999999999999998E-6</v>
      </c>
      <c r="K198" s="2">
        <v>0</v>
      </c>
      <c r="L198" s="2">
        <v>0.25558199999999998</v>
      </c>
      <c r="M198" s="2">
        <v>0.31739099999999998</v>
      </c>
      <c r="N198" s="2">
        <v>6.620819</v>
      </c>
    </row>
    <row r="199" spans="1:14" x14ac:dyDescent="0.35">
      <c r="A199" s="2" t="s">
        <v>206</v>
      </c>
      <c r="B199" s="3">
        <f t="shared" si="2"/>
        <v>32356</v>
      </c>
      <c r="C199" s="2">
        <v>1.819299</v>
      </c>
      <c r="D199" s="2">
        <v>1.2507950000000001</v>
      </c>
      <c r="E199" s="2">
        <v>2.9451019999999999</v>
      </c>
      <c r="F199" s="2">
        <v>6.0184889999999998</v>
      </c>
      <c r="G199" s="2">
        <v>0.519872</v>
      </c>
      <c r="H199" s="2">
        <v>5.6923000000000001E-2</v>
      </c>
      <c r="I199" s="2">
        <v>3.0240000000000002E-3</v>
      </c>
      <c r="J199" s="2">
        <v>3.9999999999999998E-6</v>
      </c>
      <c r="K199" s="2">
        <v>0</v>
      </c>
      <c r="L199" s="2">
        <v>0.25581500000000001</v>
      </c>
      <c r="M199" s="2">
        <v>0.31576599999999999</v>
      </c>
      <c r="N199" s="2">
        <v>6.8667299999999996</v>
      </c>
    </row>
    <row r="200" spans="1:14" x14ac:dyDescent="0.35">
      <c r="A200" s="2" t="s">
        <v>207</v>
      </c>
      <c r="B200" s="3">
        <f t="shared" si="2"/>
        <v>32387</v>
      </c>
      <c r="C200" s="2">
        <v>1.522329</v>
      </c>
      <c r="D200" s="2">
        <v>1.1244320000000001</v>
      </c>
      <c r="E200" s="2">
        <v>2.7659340000000001</v>
      </c>
      <c r="F200" s="2">
        <v>5.4157339999999996</v>
      </c>
      <c r="G200" s="2">
        <v>0.49056</v>
      </c>
      <c r="H200" s="2">
        <v>5.6240999999999999E-2</v>
      </c>
      <c r="I200" s="2">
        <v>2.8990000000000001E-3</v>
      </c>
      <c r="J200" s="2">
        <v>3.0000000000000001E-6</v>
      </c>
      <c r="K200" s="2">
        <v>0</v>
      </c>
      <c r="L200" s="2">
        <v>0.24735699999999999</v>
      </c>
      <c r="M200" s="2">
        <v>0.30649999999999999</v>
      </c>
      <c r="N200" s="2">
        <v>6.2210640000000001</v>
      </c>
    </row>
    <row r="201" spans="1:14" x14ac:dyDescent="0.35">
      <c r="A201" s="2" t="s">
        <v>208</v>
      </c>
      <c r="B201" s="3">
        <f t="shared" si="2"/>
        <v>32417</v>
      </c>
      <c r="C201" s="2">
        <v>1.4982569999999999</v>
      </c>
      <c r="D201" s="2">
        <v>1.2595689999999999</v>
      </c>
      <c r="E201" s="2">
        <v>2.9428070000000002</v>
      </c>
      <c r="F201" s="2">
        <v>5.7049810000000001</v>
      </c>
      <c r="G201" s="2">
        <v>0.45155099999999998</v>
      </c>
      <c r="H201" s="2">
        <v>5.2264999999999999E-2</v>
      </c>
      <c r="I201" s="2">
        <v>2.954E-3</v>
      </c>
      <c r="J201" s="2">
        <v>0</v>
      </c>
      <c r="K201" s="2">
        <v>0</v>
      </c>
      <c r="L201" s="2">
        <v>0.25551699999999999</v>
      </c>
      <c r="M201" s="2">
        <v>0.31073699999999999</v>
      </c>
      <c r="N201" s="2">
        <v>6.4748419999999998</v>
      </c>
    </row>
    <row r="202" spans="1:14" x14ac:dyDescent="0.35">
      <c r="A202" s="2" t="s">
        <v>209</v>
      </c>
      <c r="B202" s="3">
        <f t="shared" si="2"/>
        <v>32448</v>
      </c>
      <c r="C202" s="2">
        <v>1.493134</v>
      </c>
      <c r="D202" s="2">
        <v>1.485535</v>
      </c>
      <c r="E202" s="2">
        <v>2.8502209999999999</v>
      </c>
      <c r="F202" s="2">
        <v>5.8298819999999996</v>
      </c>
      <c r="G202" s="2">
        <v>0.41966199999999998</v>
      </c>
      <c r="H202" s="2">
        <v>6.3761999999999999E-2</v>
      </c>
      <c r="I202" s="2">
        <v>2.9329999999999998E-3</v>
      </c>
      <c r="J202" s="2">
        <v>0</v>
      </c>
      <c r="K202" s="2">
        <v>0</v>
      </c>
      <c r="L202" s="2">
        <v>0.24709600000000001</v>
      </c>
      <c r="M202" s="2">
        <v>0.31379200000000002</v>
      </c>
      <c r="N202" s="2">
        <v>6.5691139999999999</v>
      </c>
    </row>
    <row r="203" spans="1:14" x14ac:dyDescent="0.35">
      <c r="A203" s="2" t="s">
        <v>210</v>
      </c>
      <c r="B203" s="3">
        <f t="shared" si="2"/>
        <v>32478</v>
      </c>
      <c r="C203" s="2">
        <v>1.667662</v>
      </c>
      <c r="D203" s="2">
        <v>1.8615980000000001</v>
      </c>
      <c r="E203" s="2">
        <v>3.0639189999999998</v>
      </c>
      <c r="F203" s="2">
        <v>6.5962310000000004</v>
      </c>
      <c r="G203" s="2">
        <v>0.46703800000000001</v>
      </c>
      <c r="H203" s="2">
        <v>6.8748000000000004E-2</v>
      </c>
      <c r="I203" s="2">
        <v>2.898E-3</v>
      </c>
      <c r="J203" s="2">
        <v>0</v>
      </c>
      <c r="K203" s="2">
        <v>0</v>
      </c>
      <c r="L203" s="2">
        <v>0.25534499999999999</v>
      </c>
      <c r="M203" s="2">
        <v>0.326992</v>
      </c>
      <c r="N203" s="2">
        <v>7.395219</v>
      </c>
    </row>
    <row r="204" spans="1:14" x14ac:dyDescent="0.35">
      <c r="A204" s="2" t="s">
        <v>211</v>
      </c>
      <c r="B204" s="3">
        <f t="shared" si="2"/>
        <v>32509</v>
      </c>
      <c r="C204" s="2">
        <v>1.6613610000000001</v>
      </c>
      <c r="D204" s="2">
        <v>2.0930629999999999</v>
      </c>
      <c r="E204" s="2">
        <v>2.8728470000000002</v>
      </c>
      <c r="F204" s="2">
        <v>6.6345840000000003</v>
      </c>
      <c r="G204" s="2">
        <v>0.490288</v>
      </c>
      <c r="H204" s="2">
        <v>7.3276999999999995E-2</v>
      </c>
      <c r="I204" s="2">
        <v>5.1539999999999997E-3</v>
      </c>
      <c r="J204" s="2">
        <v>2.8210000000000002E-3</v>
      </c>
      <c r="K204" s="2">
        <v>4.9700000000000005E-4</v>
      </c>
      <c r="L204" s="2">
        <v>0.26657199999999998</v>
      </c>
      <c r="M204" s="2">
        <v>0.34832099999999999</v>
      </c>
      <c r="N204" s="2">
        <v>7.4779299999999997</v>
      </c>
    </row>
    <row r="205" spans="1:14" x14ac:dyDescent="0.35">
      <c r="A205" s="2" t="s">
        <v>212</v>
      </c>
      <c r="B205" s="3">
        <f t="shared" ref="B205:B268" si="3">DATEVALUE(MID(A205, 6, 20) &amp; " 1, " &amp; LEFT(A205, 4))</f>
        <v>32540</v>
      </c>
      <c r="C205" s="2">
        <v>1.5704849999999999</v>
      </c>
      <c r="D205" s="2">
        <v>2.0821450000000001</v>
      </c>
      <c r="E205" s="2">
        <v>2.6972849999999999</v>
      </c>
      <c r="F205" s="2">
        <v>6.3520849999999998</v>
      </c>
      <c r="G205" s="2">
        <v>0.40982400000000002</v>
      </c>
      <c r="H205" s="2">
        <v>6.5187999999999996E-2</v>
      </c>
      <c r="I205" s="2">
        <v>4.6540000000000002E-3</v>
      </c>
      <c r="J205" s="2">
        <v>3.0409999999999999E-3</v>
      </c>
      <c r="K205" s="2">
        <v>7.6300000000000001E-4</v>
      </c>
      <c r="L205" s="2">
        <v>0.243927</v>
      </c>
      <c r="M205" s="2">
        <v>0.31757200000000002</v>
      </c>
      <c r="N205" s="2">
        <v>7.0857479999999997</v>
      </c>
    </row>
    <row r="206" spans="1:14" x14ac:dyDescent="0.35">
      <c r="A206" s="2" t="s">
        <v>213</v>
      </c>
      <c r="B206" s="3">
        <f t="shared" si="3"/>
        <v>32568</v>
      </c>
      <c r="C206" s="2">
        <v>1.5581769999999999</v>
      </c>
      <c r="D206" s="2">
        <v>2.0221969999999998</v>
      </c>
      <c r="E206" s="2">
        <v>3.003263</v>
      </c>
      <c r="F206" s="2">
        <v>6.5868979999999997</v>
      </c>
      <c r="G206" s="2">
        <v>0.41947099999999998</v>
      </c>
      <c r="H206" s="2">
        <v>7.9268000000000005E-2</v>
      </c>
      <c r="I206" s="2">
        <v>5.4380000000000001E-3</v>
      </c>
      <c r="J206" s="2">
        <v>4.2199999999999998E-3</v>
      </c>
      <c r="K206" s="2">
        <v>8.7299999999999997E-4</v>
      </c>
      <c r="L206" s="2">
        <v>0.26831500000000003</v>
      </c>
      <c r="M206" s="2">
        <v>0.35811500000000002</v>
      </c>
      <c r="N206" s="2">
        <v>7.3665789999999998</v>
      </c>
    </row>
    <row r="207" spans="1:14" x14ac:dyDescent="0.35">
      <c r="A207" s="2" t="s">
        <v>214</v>
      </c>
      <c r="B207" s="3">
        <f t="shared" si="3"/>
        <v>32599</v>
      </c>
      <c r="C207" s="2">
        <v>1.4210560000000001</v>
      </c>
      <c r="D207" s="2">
        <v>1.6506959999999999</v>
      </c>
      <c r="E207" s="2">
        <v>2.6938840000000002</v>
      </c>
      <c r="F207" s="2">
        <v>5.7725220000000004</v>
      </c>
      <c r="G207" s="2">
        <v>0.35447600000000001</v>
      </c>
      <c r="H207" s="2">
        <v>8.4294999999999995E-2</v>
      </c>
      <c r="I207" s="2">
        <v>4.797E-3</v>
      </c>
      <c r="J207" s="2">
        <v>4.6600000000000001E-3</v>
      </c>
      <c r="K207" s="2">
        <v>8.12E-4</v>
      </c>
      <c r="L207" s="2">
        <v>0.251946</v>
      </c>
      <c r="M207" s="2">
        <v>0.34651100000000001</v>
      </c>
      <c r="N207" s="2">
        <v>6.4768369999999997</v>
      </c>
    </row>
    <row r="208" spans="1:14" x14ac:dyDescent="0.35">
      <c r="A208" s="2" t="s">
        <v>215</v>
      </c>
      <c r="B208" s="3">
        <f t="shared" si="3"/>
        <v>32629</v>
      </c>
      <c r="C208" s="2">
        <v>1.4658279999999999</v>
      </c>
      <c r="D208" s="2">
        <v>1.413189</v>
      </c>
      <c r="E208" s="2">
        <v>2.7781940000000001</v>
      </c>
      <c r="F208" s="2">
        <v>5.66289</v>
      </c>
      <c r="G208" s="2">
        <v>0.40573900000000002</v>
      </c>
      <c r="H208" s="2">
        <v>9.8199999999999996E-2</v>
      </c>
      <c r="I208" s="2">
        <v>5.0639999999999999E-3</v>
      </c>
      <c r="J208" s="2">
        <v>5.1089999999999998E-3</v>
      </c>
      <c r="K208" s="2">
        <v>6.9700000000000003E-4</v>
      </c>
      <c r="L208" s="2">
        <v>0.241235</v>
      </c>
      <c r="M208" s="2">
        <v>0.350304</v>
      </c>
      <c r="N208" s="2">
        <v>6.422993</v>
      </c>
    </row>
    <row r="209" spans="1:14" x14ac:dyDescent="0.35">
      <c r="A209" s="2" t="s">
        <v>216</v>
      </c>
      <c r="B209" s="3">
        <f t="shared" si="3"/>
        <v>32660</v>
      </c>
      <c r="C209" s="2">
        <v>1.571761</v>
      </c>
      <c r="D209" s="2">
        <v>1.262426</v>
      </c>
      <c r="E209" s="2">
        <v>2.8492060000000001</v>
      </c>
      <c r="F209" s="2">
        <v>5.6874560000000001</v>
      </c>
      <c r="G209" s="2">
        <v>0.45481500000000002</v>
      </c>
      <c r="H209" s="2">
        <v>9.0614E-2</v>
      </c>
      <c r="I209" s="2">
        <v>4.9839999999999997E-3</v>
      </c>
      <c r="J209" s="2">
        <v>5.1749999999999999E-3</v>
      </c>
      <c r="K209" s="2">
        <v>5.3399999999999997E-4</v>
      </c>
      <c r="L209" s="2">
        <v>0.248447</v>
      </c>
      <c r="M209" s="2">
        <v>0.34975299999999998</v>
      </c>
      <c r="N209" s="2">
        <v>6.4974410000000002</v>
      </c>
    </row>
    <row r="210" spans="1:14" x14ac:dyDescent="0.35">
      <c r="A210" s="2" t="s">
        <v>217</v>
      </c>
      <c r="B210" s="3">
        <f t="shared" si="3"/>
        <v>32690</v>
      </c>
      <c r="C210" s="2">
        <v>1.705408</v>
      </c>
      <c r="D210" s="2">
        <v>1.2887630000000001</v>
      </c>
      <c r="E210" s="2">
        <v>2.7719580000000001</v>
      </c>
      <c r="F210" s="2">
        <v>5.7697960000000004</v>
      </c>
      <c r="G210" s="2">
        <v>0.55381899999999995</v>
      </c>
      <c r="H210" s="2">
        <v>7.9372999999999999E-2</v>
      </c>
      <c r="I210" s="2">
        <v>5.0689999999999997E-3</v>
      </c>
      <c r="J210" s="2">
        <v>5.476E-3</v>
      </c>
      <c r="K210" s="2">
        <v>4.8500000000000003E-4</v>
      </c>
      <c r="L210" s="2">
        <v>0.26131799999999999</v>
      </c>
      <c r="M210" s="2">
        <v>0.35171999999999998</v>
      </c>
      <c r="N210" s="2">
        <v>6.6826840000000001</v>
      </c>
    </row>
    <row r="211" spans="1:14" x14ac:dyDescent="0.35">
      <c r="A211" s="2" t="s">
        <v>218</v>
      </c>
      <c r="B211" s="3">
        <f t="shared" si="3"/>
        <v>32721</v>
      </c>
      <c r="C211" s="2">
        <v>1.7173309999999999</v>
      </c>
      <c r="D211" s="2">
        <v>1.2828919999999999</v>
      </c>
      <c r="E211" s="2">
        <v>2.924922</v>
      </c>
      <c r="F211" s="2">
        <v>5.9276619999999998</v>
      </c>
      <c r="G211" s="2">
        <v>0.581511</v>
      </c>
      <c r="H211" s="2">
        <v>7.0675000000000002E-2</v>
      </c>
      <c r="I211" s="2">
        <v>4.9189999999999998E-3</v>
      </c>
      <c r="J211" s="2">
        <v>5.3889999999999997E-3</v>
      </c>
      <c r="K211" s="2">
        <v>3.5199999999999999E-4</v>
      </c>
      <c r="L211" s="2">
        <v>0.27698499999999998</v>
      </c>
      <c r="M211" s="2">
        <v>0.35832000000000003</v>
      </c>
      <c r="N211" s="2">
        <v>6.8733449999999996</v>
      </c>
    </row>
    <row r="212" spans="1:14" x14ac:dyDescent="0.35">
      <c r="A212" s="2" t="s">
        <v>219</v>
      </c>
      <c r="B212" s="3">
        <f t="shared" si="3"/>
        <v>32752</v>
      </c>
      <c r="C212" s="2">
        <v>1.5509470000000001</v>
      </c>
      <c r="D212" s="2">
        <v>1.2429520000000001</v>
      </c>
      <c r="E212" s="2">
        <v>2.7199710000000001</v>
      </c>
      <c r="F212" s="2">
        <v>5.515428</v>
      </c>
      <c r="G212" s="2">
        <v>0.47450700000000001</v>
      </c>
      <c r="H212" s="2">
        <v>6.6237000000000004E-2</v>
      </c>
      <c r="I212" s="2">
        <v>4.6090000000000002E-3</v>
      </c>
      <c r="J212" s="2">
        <v>4.9410000000000001E-3</v>
      </c>
      <c r="K212" s="2">
        <v>9.5600000000000004E-4</v>
      </c>
      <c r="L212" s="2">
        <v>0.26481100000000002</v>
      </c>
      <c r="M212" s="2">
        <v>0.341553</v>
      </c>
      <c r="N212" s="2">
        <v>6.334581</v>
      </c>
    </row>
    <row r="213" spans="1:14" x14ac:dyDescent="0.35">
      <c r="A213" s="2" t="s">
        <v>220</v>
      </c>
      <c r="B213" s="3">
        <f t="shared" si="3"/>
        <v>32782</v>
      </c>
      <c r="C213" s="2">
        <v>1.524699</v>
      </c>
      <c r="D213" s="2">
        <v>1.400854</v>
      </c>
      <c r="E213" s="2">
        <v>2.8965649999999998</v>
      </c>
      <c r="F213" s="2">
        <v>5.8185180000000001</v>
      </c>
      <c r="G213" s="2">
        <v>0.46097199999999999</v>
      </c>
      <c r="H213" s="2">
        <v>7.0285E-2</v>
      </c>
      <c r="I213" s="2">
        <v>4.8349999999999999E-3</v>
      </c>
      <c r="J213" s="2">
        <v>4.5009999999999998E-3</v>
      </c>
      <c r="K213" s="2">
        <v>5.9900000000000003E-4</v>
      </c>
      <c r="L213" s="2">
        <v>0.27646199999999999</v>
      </c>
      <c r="M213" s="2">
        <v>0.356682</v>
      </c>
      <c r="N213" s="2">
        <v>6.6362560000000004</v>
      </c>
    </row>
    <row r="214" spans="1:14" x14ac:dyDescent="0.35">
      <c r="A214" s="2" t="s">
        <v>221</v>
      </c>
      <c r="B214" s="3">
        <f t="shared" si="3"/>
        <v>32813</v>
      </c>
      <c r="C214" s="2">
        <v>1.5345139999999999</v>
      </c>
      <c r="D214" s="2">
        <v>1.630263</v>
      </c>
      <c r="E214" s="2">
        <v>2.7990930000000001</v>
      </c>
      <c r="F214" s="2">
        <v>5.9627429999999997</v>
      </c>
      <c r="G214" s="2">
        <v>0.45929599999999998</v>
      </c>
      <c r="H214" s="2">
        <v>7.4172000000000002E-2</v>
      </c>
      <c r="I214" s="2">
        <v>4.6230000000000004E-3</v>
      </c>
      <c r="J214" s="2">
        <v>3.6970000000000002E-3</v>
      </c>
      <c r="K214" s="2">
        <v>4.1899999999999999E-4</v>
      </c>
      <c r="L214" s="2">
        <v>0.27681899999999998</v>
      </c>
      <c r="M214" s="2">
        <v>0.35973100000000002</v>
      </c>
      <c r="N214" s="2">
        <v>6.7787100000000002</v>
      </c>
    </row>
    <row r="215" spans="1:14" x14ac:dyDescent="0.35">
      <c r="A215" s="2" t="s">
        <v>222</v>
      </c>
      <c r="B215" s="3">
        <f t="shared" si="3"/>
        <v>32843</v>
      </c>
      <c r="C215" s="2">
        <v>1.7881959999999999</v>
      </c>
      <c r="D215" s="2">
        <v>2.232167</v>
      </c>
      <c r="E215" s="2">
        <v>3.1575660000000001</v>
      </c>
      <c r="F215" s="2">
        <v>7.1759469999999999</v>
      </c>
      <c r="G215" s="2">
        <v>0.53744199999999998</v>
      </c>
      <c r="H215" s="2">
        <v>7.6401999999999998E-2</v>
      </c>
      <c r="I215" s="2">
        <v>4.9480000000000001E-3</v>
      </c>
      <c r="J215" s="2">
        <v>3.4650000000000002E-3</v>
      </c>
      <c r="K215" s="2">
        <v>2.1900000000000001E-4</v>
      </c>
      <c r="L215" s="2">
        <v>0.28251999999999999</v>
      </c>
      <c r="M215" s="2">
        <v>0.36755500000000002</v>
      </c>
      <c r="N215" s="2">
        <v>8.0791730000000008</v>
      </c>
    </row>
    <row r="216" spans="1:14" x14ac:dyDescent="0.35">
      <c r="A216" s="2" t="s">
        <v>223</v>
      </c>
      <c r="B216" s="3">
        <f t="shared" si="3"/>
        <v>32874</v>
      </c>
      <c r="C216" s="2">
        <v>1.6516169999999999</v>
      </c>
      <c r="D216" s="2">
        <v>2.2145860000000002</v>
      </c>
      <c r="E216" s="2">
        <v>2.849383</v>
      </c>
      <c r="F216" s="2">
        <v>6.7158300000000004</v>
      </c>
      <c r="G216" s="2">
        <v>0.58327300000000004</v>
      </c>
      <c r="H216" s="2">
        <v>8.3077999999999999E-2</v>
      </c>
      <c r="I216" s="2">
        <v>5.5139999999999998E-3</v>
      </c>
      <c r="J216" s="2">
        <v>3.0149999999999999E-3</v>
      </c>
      <c r="K216" s="2">
        <v>1.0280000000000001E-3</v>
      </c>
      <c r="L216" s="2">
        <v>0.23669200000000001</v>
      </c>
      <c r="M216" s="2">
        <v>0.32932699999999998</v>
      </c>
      <c r="N216" s="2">
        <v>7.6272859999999998</v>
      </c>
    </row>
    <row r="217" spans="1:14" x14ac:dyDescent="0.35">
      <c r="A217" s="2" t="s">
        <v>224</v>
      </c>
      <c r="B217" s="3">
        <f t="shared" si="3"/>
        <v>32905</v>
      </c>
      <c r="C217" s="2">
        <v>1.4655260000000001</v>
      </c>
      <c r="D217" s="2">
        <v>1.9072480000000001</v>
      </c>
      <c r="E217" s="2">
        <v>2.597232</v>
      </c>
      <c r="F217" s="2">
        <v>5.9701180000000003</v>
      </c>
      <c r="G217" s="2">
        <v>0.52870499999999998</v>
      </c>
      <c r="H217" s="2">
        <v>8.6122000000000004E-2</v>
      </c>
      <c r="I217" s="2">
        <v>5.032E-3</v>
      </c>
      <c r="J217" s="2">
        <v>3.2560000000000002E-3</v>
      </c>
      <c r="K217" s="2">
        <v>7.8899999999999999E-4</v>
      </c>
      <c r="L217" s="2">
        <v>0.22626599999999999</v>
      </c>
      <c r="M217" s="2">
        <v>0.321465</v>
      </c>
      <c r="N217" s="2">
        <v>6.8168150000000001</v>
      </c>
    </row>
    <row r="218" spans="1:14" x14ac:dyDescent="0.35">
      <c r="A218" s="2" t="s">
        <v>225</v>
      </c>
      <c r="B218" s="3">
        <f t="shared" si="3"/>
        <v>32933</v>
      </c>
      <c r="C218" s="2">
        <v>1.5287329999999999</v>
      </c>
      <c r="D218" s="2">
        <v>1.8706499999999999</v>
      </c>
      <c r="E218" s="2">
        <v>2.853453</v>
      </c>
      <c r="F218" s="2">
        <v>6.2533599999999998</v>
      </c>
      <c r="G218" s="2">
        <v>0.48769400000000002</v>
      </c>
      <c r="H218" s="2">
        <v>9.8840999999999998E-2</v>
      </c>
      <c r="I218" s="2">
        <v>5.5399999999999998E-3</v>
      </c>
      <c r="J218" s="2">
        <v>4.4889999999999999E-3</v>
      </c>
      <c r="K218" s="2">
        <v>8.3699999999999996E-4</v>
      </c>
      <c r="L218" s="2">
        <v>0.24424799999999999</v>
      </c>
      <c r="M218" s="2">
        <v>0.35395599999999999</v>
      </c>
      <c r="N218" s="2">
        <v>7.0912850000000001</v>
      </c>
    </row>
    <row r="219" spans="1:14" x14ac:dyDescent="0.35">
      <c r="A219" s="2" t="s">
        <v>226</v>
      </c>
      <c r="B219" s="3">
        <f t="shared" si="3"/>
        <v>32964</v>
      </c>
      <c r="C219" s="2">
        <v>1.449803</v>
      </c>
      <c r="D219" s="2">
        <v>1.6681330000000001</v>
      </c>
      <c r="E219" s="2">
        <v>2.7141670000000002</v>
      </c>
      <c r="F219" s="2">
        <v>5.8313100000000002</v>
      </c>
      <c r="G219" s="2">
        <v>0.40757599999999999</v>
      </c>
      <c r="H219" s="2">
        <v>9.0589000000000003E-2</v>
      </c>
      <c r="I219" s="2">
        <v>4.5259999999999996E-3</v>
      </c>
      <c r="J219" s="2">
        <v>4.9459999999999999E-3</v>
      </c>
      <c r="K219" s="2">
        <v>1.4339999999999999E-3</v>
      </c>
      <c r="L219" s="2">
        <v>0.23264000000000001</v>
      </c>
      <c r="M219" s="2">
        <v>0.33413599999999999</v>
      </c>
      <c r="N219" s="2">
        <v>6.5715349999999999</v>
      </c>
    </row>
    <row r="220" spans="1:14" x14ac:dyDescent="0.35">
      <c r="A220" s="2" t="s">
        <v>227</v>
      </c>
      <c r="B220" s="3">
        <f t="shared" si="3"/>
        <v>32994</v>
      </c>
      <c r="C220" s="2">
        <v>1.4770730000000001</v>
      </c>
      <c r="D220" s="2">
        <v>1.452612</v>
      </c>
      <c r="E220" s="2">
        <v>2.8371059999999999</v>
      </c>
      <c r="F220" s="2">
        <v>5.7669680000000003</v>
      </c>
      <c r="G220" s="2">
        <v>0.45444499999999999</v>
      </c>
      <c r="H220" s="2">
        <v>9.5753000000000005E-2</v>
      </c>
      <c r="I220" s="2">
        <v>5.2199999999999998E-3</v>
      </c>
      <c r="J220" s="2">
        <v>5.5149999999999999E-3</v>
      </c>
      <c r="K220" s="2">
        <v>1.1950000000000001E-3</v>
      </c>
      <c r="L220" s="2">
        <v>0.21010799999999999</v>
      </c>
      <c r="M220" s="2">
        <v>0.31779099999999999</v>
      </c>
      <c r="N220" s="2">
        <v>6.5381520000000002</v>
      </c>
    </row>
    <row r="221" spans="1:14" x14ac:dyDescent="0.35">
      <c r="A221" s="2" t="s">
        <v>228</v>
      </c>
      <c r="B221" s="3">
        <f t="shared" si="3"/>
        <v>33025</v>
      </c>
      <c r="C221" s="2">
        <v>1.6049180000000001</v>
      </c>
      <c r="D221" s="2">
        <v>1.3508990000000001</v>
      </c>
      <c r="E221" s="2">
        <v>2.8066749999999998</v>
      </c>
      <c r="F221" s="2">
        <v>5.7632120000000002</v>
      </c>
      <c r="G221" s="2">
        <v>0.490288</v>
      </c>
      <c r="H221" s="2">
        <v>9.8444000000000004E-2</v>
      </c>
      <c r="I221" s="2">
        <v>5.3680000000000004E-3</v>
      </c>
      <c r="J221" s="2">
        <v>5.5339999999999999E-3</v>
      </c>
      <c r="K221" s="2">
        <v>1.387E-3</v>
      </c>
      <c r="L221" s="2">
        <v>0.17854400000000001</v>
      </c>
      <c r="M221" s="2">
        <v>0.28927599999999998</v>
      </c>
      <c r="N221" s="2">
        <v>6.5419559999999999</v>
      </c>
    </row>
    <row r="222" spans="1:14" x14ac:dyDescent="0.35">
      <c r="A222" s="2" t="s">
        <v>229</v>
      </c>
      <c r="B222" s="3">
        <f t="shared" si="3"/>
        <v>33055</v>
      </c>
      <c r="C222" s="2">
        <v>1.740572</v>
      </c>
      <c r="D222" s="2">
        <v>1.341798</v>
      </c>
      <c r="E222" s="2">
        <v>2.8760870000000001</v>
      </c>
      <c r="F222" s="2">
        <v>5.9616920000000002</v>
      </c>
      <c r="G222" s="2">
        <v>0.56766799999999995</v>
      </c>
      <c r="H222" s="2">
        <v>8.4489999999999996E-2</v>
      </c>
      <c r="I222" s="2">
        <v>5.4299999999999999E-3</v>
      </c>
      <c r="J222" s="2">
        <v>5.8320000000000004E-3</v>
      </c>
      <c r="K222" s="2">
        <v>4.06E-4</v>
      </c>
      <c r="L222" s="2">
        <v>0.21971299999999999</v>
      </c>
      <c r="M222" s="2">
        <v>0.31587199999999999</v>
      </c>
      <c r="N222" s="2">
        <v>6.8486070000000003</v>
      </c>
    </row>
    <row r="223" spans="1:14" x14ac:dyDescent="0.35">
      <c r="A223" s="2" t="s">
        <v>230</v>
      </c>
      <c r="B223" s="3">
        <f t="shared" si="3"/>
        <v>33086</v>
      </c>
      <c r="C223" s="2">
        <v>1.7764420000000001</v>
      </c>
      <c r="D223" s="2">
        <v>1.3726020000000001</v>
      </c>
      <c r="E223" s="2">
        <v>3.0406550000000001</v>
      </c>
      <c r="F223" s="2">
        <v>6.1889250000000002</v>
      </c>
      <c r="G223" s="2">
        <v>0.59003300000000003</v>
      </c>
      <c r="H223" s="2">
        <v>7.5559000000000001E-2</v>
      </c>
      <c r="I223" s="2">
        <v>5.3689999999999996E-3</v>
      </c>
      <c r="J223" s="2">
        <v>5.7809999999999997E-3</v>
      </c>
      <c r="K223" s="2">
        <v>2.3900000000000001E-4</v>
      </c>
      <c r="L223" s="2">
        <v>0.24563199999999999</v>
      </c>
      <c r="M223" s="2">
        <v>0.33257999999999999</v>
      </c>
      <c r="N223" s="2">
        <v>7.114287</v>
      </c>
    </row>
    <row r="224" spans="1:14" x14ac:dyDescent="0.35">
      <c r="A224" s="2" t="s">
        <v>231</v>
      </c>
      <c r="B224" s="3">
        <f t="shared" si="3"/>
        <v>33117</v>
      </c>
      <c r="C224" s="2">
        <v>1.639972</v>
      </c>
      <c r="D224" s="2">
        <v>1.3331919999999999</v>
      </c>
      <c r="E224" s="2">
        <v>2.6766800000000002</v>
      </c>
      <c r="F224" s="2">
        <v>5.6508240000000001</v>
      </c>
      <c r="G224" s="2">
        <v>0.51306700000000005</v>
      </c>
      <c r="H224" s="2">
        <v>6.1421999999999997E-2</v>
      </c>
      <c r="I224" s="2">
        <v>5.0720000000000001E-3</v>
      </c>
      <c r="J224" s="2">
        <v>5.228E-3</v>
      </c>
      <c r="K224" s="2">
        <v>3.1100000000000002E-4</v>
      </c>
      <c r="L224" s="2">
        <v>0.23993200000000001</v>
      </c>
      <c r="M224" s="2">
        <v>0.31196499999999999</v>
      </c>
      <c r="N224" s="2">
        <v>6.4779790000000004</v>
      </c>
    </row>
    <row r="225" spans="1:14" x14ac:dyDescent="0.35">
      <c r="A225" s="2" t="s">
        <v>232</v>
      </c>
      <c r="B225" s="3">
        <f t="shared" si="3"/>
        <v>33147</v>
      </c>
      <c r="C225" s="2">
        <v>1.604968</v>
      </c>
      <c r="D225" s="2">
        <v>1.458073</v>
      </c>
      <c r="E225" s="2">
        <v>2.8189350000000002</v>
      </c>
      <c r="F225" s="2">
        <v>5.8825380000000003</v>
      </c>
      <c r="G225" s="2">
        <v>0.45920699999999998</v>
      </c>
      <c r="H225" s="2">
        <v>6.6656999999999994E-2</v>
      </c>
      <c r="I225" s="2">
        <v>5.3049999999999998E-3</v>
      </c>
      <c r="J225" s="2">
        <v>4.7819999999999998E-3</v>
      </c>
      <c r="K225" s="2">
        <v>6.9300000000000004E-4</v>
      </c>
      <c r="L225" s="2">
        <v>0.23543700000000001</v>
      </c>
      <c r="M225" s="2">
        <v>0.31287300000000001</v>
      </c>
      <c r="N225" s="2">
        <v>6.6596719999999996</v>
      </c>
    </row>
    <row r="226" spans="1:14" x14ac:dyDescent="0.35">
      <c r="A226" s="2" t="s">
        <v>233</v>
      </c>
      <c r="B226" s="3">
        <f t="shared" si="3"/>
        <v>33178</v>
      </c>
      <c r="C226" s="2">
        <v>1.535479</v>
      </c>
      <c r="D226" s="2">
        <v>1.6092789999999999</v>
      </c>
      <c r="E226" s="2">
        <v>2.6884299999999999</v>
      </c>
      <c r="F226" s="2">
        <v>5.8321449999999997</v>
      </c>
      <c r="G226" s="2">
        <v>0.47655399999999998</v>
      </c>
      <c r="H226" s="2">
        <v>7.1862999999999996E-2</v>
      </c>
      <c r="I226" s="2">
        <v>5.0920000000000002E-3</v>
      </c>
      <c r="J226" s="2">
        <v>3.8839999999999999E-3</v>
      </c>
      <c r="K226" s="2">
        <v>7.8899999999999999E-4</v>
      </c>
      <c r="L226" s="2">
        <v>0.22025600000000001</v>
      </c>
      <c r="M226" s="2">
        <v>0.30188300000000001</v>
      </c>
      <c r="N226" s="2">
        <v>6.6140140000000001</v>
      </c>
    </row>
    <row r="227" spans="1:14" x14ac:dyDescent="0.35">
      <c r="A227" s="2" t="s">
        <v>234</v>
      </c>
      <c r="B227" s="3">
        <f t="shared" si="3"/>
        <v>33208</v>
      </c>
      <c r="C227" s="2">
        <v>1.697532</v>
      </c>
      <c r="D227" s="2">
        <v>2.0241959999999999</v>
      </c>
      <c r="E227" s="2">
        <v>2.7420930000000001</v>
      </c>
      <c r="F227" s="2">
        <v>6.4646549999999996</v>
      </c>
      <c r="G227" s="2">
        <v>0.54583899999999996</v>
      </c>
      <c r="H227" s="2">
        <v>8.6440000000000003E-2</v>
      </c>
      <c r="I227" s="2">
        <v>5.3940000000000004E-3</v>
      </c>
      <c r="J227" s="2">
        <v>3.7000000000000002E-3</v>
      </c>
      <c r="K227" s="2">
        <v>4.06E-4</v>
      </c>
      <c r="L227" s="2">
        <v>0.245644</v>
      </c>
      <c r="M227" s="2">
        <v>0.341584</v>
      </c>
      <c r="N227" s="2">
        <v>7.3549360000000004</v>
      </c>
    </row>
    <row r="228" spans="1:14" x14ac:dyDescent="0.35">
      <c r="A228" s="2" t="s">
        <v>235</v>
      </c>
      <c r="B228" s="3">
        <f t="shared" si="3"/>
        <v>33239</v>
      </c>
      <c r="C228" s="2">
        <v>1.7489680000000001</v>
      </c>
      <c r="D228" s="2">
        <v>2.389278</v>
      </c>
      <c r="E228" s="2">
        <v>2.7913800000000002</v>
      </c>
      <c r="F228" s="2">
        <v>6.9312480000000001</v>
      </c>
      <c r="G228" s="2">
        <v>0.57000499999999998</v>
      </c>
      <c r="H228" s="2">
        <v>9.1731999999999994E-2</v>
      </c>
      <c r="I228" s="2">
        <v>5.679E-3</v>
      </c>
      <c r="J228" s="2">
        <v>3.1250000000000002E-3</v>
      </c>
      <c r="K228" s="2">
        <v>2.12E-4</v>
      </c>
      <c r="L228" s="2">
        <v>0.26953100000000002</v>
      </c>
      <c r="M228" s="2">
        <v>0.370278</v>
      </c>
      <c r="N228" s="2">
        <v>7.8747210000000001</v>
      </c>
    </row>
    <row r="229" spans="1:14" x14ac:dyDescent="0.35">
      <c r="A229" s="2" t="s">
        <v>236</v>
      </c>
      <c r="B229" s="3">
        <f t="shared" si="3"/>
        <v>33270</v>
      </c>
      <c r="C229" s="2">
        <v>1.4607289999999999</v>
      </c>
      <c r="D229" s="2">
        <v>1.9877849999999999</v>
      </c>
      <c r="E229" s="2">
        <v>2.4425599999999998</v>
      </c>
      <c r="F229" s="2">
        <v>5.8928789999999998</v>
      </c>
      <c r="G229" s="2">
        <v>0.50179200000000002</v>
      </c>
      <c r="H229" s="2">
        <v>7.8638E-2</v>
      </c>
      <c r="I229" s="2">
        <v>4.9810000000000002E-3</v>
      </c>
      <c r="J229" s="2">
        <v>3.369E-3</v>
      </c>
      <c r="K229" s="2">
        <v>9.8900000000000008E-4</v>
      </c>
      <c r="L229" s="2">
        <v>0.20453499999999999</v>
      </c>
      <c r="M229" s="2">
        <v>0.29251100000000002</v>
      </c>
      <c r="N229" s="2">
        <v>6.6895470000000001</v>
      </c>
    </row>
    <row r="230" spans="1:14" x14ac:dyDescent="0.35">
      <c r="A230" s="2" t="s">
        <v>237</v>
      </c>
      <c r="B230" s="3">
        <f t="shared" si="3"/>
        <v>33298</v>
      </c>
      <c r="C230" s="2">
        <v>1.480065</v>
      </c>
      <c r="D230" s="2">
        <v>1.9215390000000001</v>
      </c>
      <c r="E230" s="2">
        <v>2.697918</v>
      </c>
      <c r="F230" s="2">
        <v>6.1010530000000003</v>
      </c>
      <c r="G230" s="2">
        <v>0.51498699999999997</v>
      </c>
      <c r="H230" s="2">
        <v>9.2383999999999994E-2</v>
      </c>
      <c r="I230" s="2">
        <v>5.6579999999999998E-3</v>
      </c>
      <c r="J230" s="2">
        <v>4.561E-3</v>
      </c>
      <c r="K230" s="2">
        <v>7.0699999999999995E-4</v>
      </c>
      <c r="L230" s="2">
        <v>0.21437400000000001</v>
      </c>
      <c r="M230" s="2">
        <v>0.31768299999999999</v>
      </c>
      <c r="N230" s="2">
        <v>6.9377339999999998</v>
      </c>
    </row>
    <row r="231" spans="1:14" x14ac:dyDescent="0.35">
      <c r="A231" s="2" t="s">
        <v>238</v>
      </c>
      <c r="B231" s="3">
        <f t="shared" si="3"/>
        <v>33329</v>
      </c>
      <c r="C231" s="2">
        <v>1.3731599999999999</v>
      </c>
      <c r="D231" s="2">
        <v>1.6208229999999999</v>
      </c>
      <c r="E231" s="2">
        <v>2.6079690000000002</v>
      </c>
      <c r="F231" s="2">
        <v>5.6026249999999997</v>
      </c>
      <c r="G231" s="2">
        <v>0.43646000000000001</v>
      </c>
      <c r="H231" s="2">
        <v>9.1873999999999997E-2</v>
      </c>
      <c r="I231" s="2">
        <v>5.1440000000000001E-3</v>
      </c>
      <c r="J231" s="2">
        <v>5.0260000000000001E-3</v>
      </c>
      <c r="K231" s="2">
        <v>8.1300000000000003E-4</v>
      </c>
      <c r="L231" s="2">
        <v>0.19045200000000001</v>
      </c>
      <c r="M231" s="2">
        <v>0.29330899999999999</v>
      </c>
      <c r="N231" s="2">
        <v>6.3369239999999998</v>
      </c>
    </row>
    <row r="232" spans="1:14" x14ac:dyDescent="0.35">
      <c r="A232" s="2" t="s">
        <v>239</v>
      </c>
      <c r="B232" s="3">
        <f t="shared" si="3"/>
        <v>33359</v>
      </c>
      <c r="C232" s="2">
        <v>1.4974350000000001</v>
      </c>
      <c r="D232" s="2">
        <v>1.416318</v>
      </c>
      <c r="E232" s="2">
        <v>2.7041819999999999</v>
      </c>
      <c r="F232" s="2">
        <v>5.618474</v>
      </c>
      <c r="G232" s="2">
        <v>0.49017500000000003</v>
      </c>
      <c r="H232" s="2">
        <v>0.101296</v>
      </c>
      <c r="I232" s="2">
        <v>5.2700000000000004E-3</v>
      </c>
      <c r="J232" s="2">
        <v>5.7390000000000002E-3</v>
      </c>
      <c r="K232" s="2">
        <v>1.237E-3</v>
      </c>
      <c r="L232" s="2">
        <v>0.20657900000000001</v>
      </c>
      <c r="M232" s="2">
        <v>0.32012000000000002</v>
      </c>
      <c r="N232" s="2">
        <v>6.4342750000000004</v>
      </c>
    </row>
    <row r="233" spans="1:14" x14ac:dyDescent="0.35">
      <c r="A233" s="2" t="s">
        <v>240</v>
      </c>
      <c r="B233" s="3">
        <f t="shared" si="3"/>
        <v>33390</v>
      </c>
      <c r="C233" s="2">
        <v>1.5962780000000001</v>
      </c>
      <c r="D233" s="2">
        <v>1.2774890000000001</v>
      </c>
      <c r="E233" s="2">
        <v>2.7400799999999998</v>
      </c>
      <c r="F233" s="2">
        <v>5.6123940000000001</v>
      </c>
      <c r="G233" s="2">
        <v>0.56832199999999999</v>
      </c>
      <c r="H233" s="2">
        <v>9.1854000000000005E-2</v>
      </c>
      <c r="I233" s="2">
        <v>5.5279999999999999E-3</v>
      </c>
      <c r="J233" s="2">
        <v>5.803E-3</v>
      </c>
      <c r="K233" s="2">
        <v>5.2999999999999998E-4</v>
      </c>
      <c r="L233" s="2">
        <v>0.20972099999999999</v>
      </c>
      <c r="M233" s="2">
        <v>0.31343700000000002</v>
      </c>
      <c r="N233" s="2">
        <v>6.497763</v>
      </c>
    </row>
    <row r="234" spans="1:14" x14ac:dyDescent="0.35">
      <c r="A234" s="2" t="s">
        <v>241</v>
      </c>
      <c r="B234" s="3">
        <f t="shared" si="3"/>
        <v>33420</v>
      </c>
      <c r="C234" s="2">
        <v>1.7382029999999999</v>
      </c>
      <c r="D234" s="2">
        <v>1.377051</v>
      </c>
      <c r="E234" s="2">
        <v>2.8372410000000001</v>
      </c>
      <c r="F234" s="2">
        <v>5.9553339999999997</v>
      </c>
      <c r="G234" s="2">
        <v>0.63674200000000003</v>
      </c>
      <c r="H234" s="2">
        <v>8.6984000000000006E-2</v>
      </c>
      <c r="I234" s="2">
        <v>5.5560000000000002E-3</v>
      </c>
      <c r="J234" s="2">
        <v>6.1330000000000004E-3</v>
      </c>
      <c r="K234" s="2">
        <v>5.2999999999999998E-4</v>
      </c>
      <c r="L234" s="2">
        <v>0.21005499999999999</v>
      </c>
      <c r="M234" s="2">
        <v>0.309257</v>
      </c>
      <c r="N234" s="2">
        <v>6.9084950000000003</v>
      </c>
    </row>
    <row r="235" spans="1:14" x14ac:dyDescent="0.35">
      <c r="A235" s="2" t="s">
        <v>242</v>
      </c>
      <c r="B235" s="3">
        <f t="shared" si="3"/>
        <v>33451</v>
      </c>
      <c r="C235" s="2">
        <v>1.737679</v>
      </c>
      <c r="D235" s="2">
        <v>1.3670910000000001</v>
      </c>
      <c r="E235" s="2">
        <v>2.8759860000000002</v>
      </c>
      <c r="F235" s="2">
        <v>5.9786710000000003</v>
      </c>
      <c r="G235" s="2">
        <v>0.61302699999999999</v>
      </c>
      <c r="H235" s="2">
        <v>7.7658000000000005E-2</v>
      </c>
      <c r="I235" s="2">
        <v>5.5100000000000001E-3</v>
      </c>
      <c r="J235" s="2">
        <v>6.0350000000000004E-3</v>
      </c>
      <c r="K235" s="2">
        <v>7.7700000000000002E-4</v>
      </c>
      <c r="L235" s="2">
        <v>0.250834</v>
      </c>
      <c r="M235" s="2">
        <v>0.34081299999999998</v>
      </c>
      <c r="N235" s="2">
        <v>6.9410239999999996</v>
      </c>
    </row>
    <row r="236" spans="1:14" x14ac:dyDescent="0.35">
      <c r="A236" s="2" t="s">
        <v>243</v>
      </c>
      <c r="B236" s="3">
        <f t="shared" si="3"/>
        <v>33482</v>
      </c>
      <c r="C236" s="2">
        <v>1.5764689999999999</v>
      </c>
      <c r="D236" s="2">
        <v>1.3110409999999999</v>
      </c>
      <c r="E236" s="2">
        <v>2.7235960000000001</v>
      </c>
      <c r="F236" s="2">
        <v>5.6147239999999998</v>
      </c>
      <c r="G236" s="2">
        <v>0.54384299999999997</v>
      </c>
      <c r="H236" s="2">
        <v>6.5997E-2</v>
      </c>
      <c r="I236" s="2">
        <v>5.1960000000000001E-3</v>
      </c>
      <c r="J236" s="2">
        <v>5.4869999999999997E-3</v>
      </c>
      <c r="K236" s="2">
        <v>7.0699999999999995E-4</v>
      </c>
      <c r="L236" s="2">
        <v>0.267735</v>
      </c>
      <c r="M236" s="2">
        <v>0.34512199999999998</v>
      </c>
      <c r="N236" s="2">
        <v>6.5110749999999999</v>
      </c>
    </row>
    <row r="237" spans="1:14" x14ac:dyDescent="0.35">
      <c r="A237" s="2" t="s">
        <v>244</v>
      </c>
      <c r="B237" s="3">
        <f t="shared" si="3"/>
        <v>33512</v>
      </c>
      <c r="C237" s="2">
        <v>1.540673</v>
      </c>
      <c r="D237" s="2">
        <v>1.502664</v>
      </c>
      <c r="E237" s="2">
        <v>2.8410129999999998</v>
      </c>
      <c r="F237" s="2">
        <v>5.8836680000000001</v>
      </c>
      <c r="G237" s="2">
        <v>0.49958999999999998</v>
      </c>
      <c r="H237" s="2">
        <v>6.3197000000000003E-2</v>
      </c>
      <c r="I237" s="2">
        <v>5.4650000000000002E-3</v>
      </c>
      <c r="J237" s="2">
        <v>4.9350000000000002E-3</v>
      </c>
      <c r="K237" s="2">
        <v>1.4480000000000001E-3</v>
      </c>
      <c r="L237" s="2">
        <v>0.24940799999999999</v>
      </c>
      <c r="M237" s="2">
        <v>0.32445400000000002</v>
      </c>
      <c r="N237" s="2">
        <v>6.7159000000000004</v>
      </c>
    </row>
    <row r="238" spans="1:14" x14ac:dyDescent="0.35">
      <c r="A238" s="2" t="s">
        <v>245</v>
      </c>
      <c r="B238" s="3">
        <f t="shared" si="3"/>
        <v>33543</v>
      </c>
      <c r="C238" s="2">
        <v>1.5881749999999999</v>
      </c>
      <c r="D238" s="2">
        <v>1.7708219999999999</v>
      </c>
      <c r="E238" s="2">
        <v>2.6866840000000001</v>
      </c>
      <c r="F238" s="2">
        <v>6.046869</v>
      </c>
      <c r="G238" s="2">
        <v>0.48535899999999998</v>
      </c>
      <c r="H238" s="2">
        <v>6.6085000000000005E-2</v>
      </c>
      <c r="I238" s="2">
        <v>5.6470000000000001E-3</v>
      </c>
      <c r="J238" s="2">
        <v>4.0340000000000003E-3</v>
      </c>
      <c r="K238" s="2">
        <v>1.4480000000000001E-3</v>
      </c>
      <c r="L238" s="2">
        <v>0.24154100000000001</v>
      </c>
      <c r="M238" s="2">
        <v>0.31875700000000001</v>
      </c>
      <c r="N238" s="2">
        <v>6.8572660000000001</v>
      </c>
    </row>
    <row r="239" spans="1:14" x14ac:dyDescent="0.35">
      <c r="A239" s="2" t="s">
        <v>246</v>
      </c>
      <c r="B239" s="3">
        <f t="shared" si="3"/>
        <v>33573</v>
      </c>
      <c r="C239" s="2">
        <v>1.653837</v>
      </c>
      <c r="D239" s="2">
        <v>2.091062</v>
      </c>
      <c r="E239" s="2">
        <v>2.8416489999999999</v>
      </c>
      <c r="F239" s="2">
        <v>6.5866410000000002</v>
      </c>
      <c r="G239" s="2">
        <v>0.561832</v>
      </c>
      <c r="H239" s="2">
        <v>7.8349000000000002E-2</v>
      </c>
      <c r="I239" s="2">
        <v>5.8450000000000004E-3</v>
      </c>
      <c r="J239" s="2">
        <v>3.7919999999999998E-3</v>
      </c>
      <c r="K239" s="2">
        <v>6.7100000000000005E-4</v>
      </c>
      <c r="L239" s="2">
        <v>0.26703300000000002</v>
      </c>
      <c r="M239" s="2">
        <v>0.35569000000000001</v>
      </c>
      <c r="N239" s="2">
        <v>7.510383</v>
      </c>
    </row>
    <row r="240" spans="1:14" x14ac:dyDescent="0.35">
      <c r="A240" s="2" t="s">
        <v>247</v>
      </c>
      <c r="B240" s="3">
        <f t="shared" si="3"/>
        <v>33604</v>
      </c>
      <c r="C240" s="2">
        <v>1.674804</v>
      </c>
      <c r="D240" s="2">
        <v>2.3363230000000001</v>
      </c>
      <c r="E240" s="2">
        <v>2.820735</v>
      </c>
      <c r="F240" s="2">
        <v>6.8355610000000002</v>
      </c>
      <c r="G240" s="2">
        <v>0.60573399999999999</v>
      </c>
      <c r="H240" s="2">
        <v>7.7843999999999997E-2</v>
      </c>
      <c r="I240" s="2">
        <v>5.8279999999999998E-3</v>
      </c>
      <c r="J240" s="2">
        <v>3.1960000000000001E-3</v>
      </c>
      <c r="K240" s="2">
        <v>5.1199999999999998E-4</v>
      </c>
      <c r="L240" s="2">
        <v>0.27919699999999997</v>
      </c>
      <c r="M240" s="2">
        <v>0.36657699999999999</v>
      </c>
      <c r="N240" s="2">
        <v>7.8143289999999999</v>
      </c>
    </row>
    <row r="241" spans="1:14" x14ac:dyDescent="0.35">
      <c r="A241" s="2" t="s">
        <v>248</v>
      </c>
      <c r="B241" s="3">
        <f t="shared" si="3"/>
        <v>33635</v>
      </c>
      <c r="C241" s="2">
        <v>1.4960929999999999</v>
      </c>
      <c r="D241" s="2">
        <v>2.1237919999999999</v>
      </c>
      <c r="E241" s="2">
        <v>2.6122350000000001</v>
      </c>
      <c r="F241" s="2">
        <v>6.2346120000000003</v>
      </c>
      <c r="G241" s="2">
        <v>0.55290700000000004</v>
      </c>
      <c r="H241" s="2">
        <v>6.4670000000000005E-2</v>
      </c>
      <c r="I241" s="2">
        <v>5.1879999999999999E-3</v>
      </c>
      <c r="J241" s="2">
        <v>3.4510000000000001E-3</v>
      </c>
      <c r="K241" s="2">
        <v>1.7589999999999999E-3</v>
      </c>
      <c r="L241" s="2">
        <v>0.23046800000000001</v>
      </c>
      <c r="M241" s="2">
        <v>0.305537</v>
      </c>
      <c r="N241" s="2">
        <v>7.0996069999999998</v>
      </c>
    </row>
    <row r="242" spans="1:14" x14ac:dyDescent="0.35">
      <c r="A242" s="2" t="s">
        <v>249</v>
      </c>
      <c r="B242" s="3">
        <f t="shared" si="3"/>
        <v>33664</v>
      </c>
      <c r="C242" s="2">
        <v>1.55524</v>
      </c>
      <c r="D242" s="2">
        <v>2.0249999999999999</v>
      </c>
      <c r="E242" s="2">
        <v>2.79799</v>
      </c>
      <c r="F242" s="2">
        <v>6.3815010000000001</v>
      </c>
      <c r="G242" s="2">
        <v>0.47994199999999998</v>
      </c>
      <c r="H242" s="2">
        <v>7.8408000000000005E-2</v>
      </c>
      <c r="I242" s="2">
        <v>5.842E-3</v>
      </c>
      <c r="J242" s="2">
        <v>4.7520000000000001E-3</v>
      </c>
      <c r="K242" s="2">
        <v>1.1199999999999999E-3</v>
      </c>
      <c r="L242" s="2">
        <v>0.22117700000000001</v>
      </c>
      <c r="M242" s="2">
        <v>0.31129899999999999</v>
      </c>
      <c r="N242" s="2">
        <v>7.1771190000000002</v>
      </c>
    </row>
    <row r="243" spans="1:14" x14ac:dyDescent="0.35">
      <c r="A243" s="2" t="s">
        <v>250</v>
      </c>
      <c r="B243" s="3">
        <f t="shared" si="3"/>
        <v>33695</v>
      </c>
      <c r="C243" s="2">
        <v>1.4526589999999999</v>
      </c>
      <c r="D243" s="2">
        <v>1.7837479999999999</v>
      </c>
      <c r="E243" s="2">
        <v>2.7083469999999998</v>
      </c>
      <c r="F243" s="2">
        <v>5.9478400000000002</v>
      </c>
      <c r="G243" s="2">
        <v>0.44258399999999998</v>
      </c>
      <c r="H243" s="2">
        <v>7.0180000000000006E-2</v>
      </c>
      <c r="I243" s="2">
        <v>5.3509999999999999E-3</v>
      </c>
      <c r="J243" s="2">
        <v>5.2839999999999996E-3</v>
      </c>
      <c r="K243" s="2">
        <v>1.088E-3</v>
      </c>
      <c r="L243" s="2">
        <v>0.210172</v>
      </c>
      <c r="M243" s="2">
        <v>0.29207300000000003</v>
      </c>
      <c r="N243" s="2">
        <v>6.6878159999999998</v>
      </c>
    </row>
    <row r="244" spans="1:14" x14ac:dyDescent="0.35">
      <c r="A244" s="2" t="s">
        <v>251</v>
      </c>
      <c r="B244" s="3">
        <f t="shared" si="3"/>
        <v>33725</v>
      </c>
      <c r="C244" s="2">
        <v>1.4876959999999999</v>
      </c>
      <c r="D244" s="2">
        <v>1.511315</v>
      </c>
      <c r="E244" s="2">
        <v>2.7579210000000001</v>
      </c>
      <c r="F244" s="2">
        <v>5.7588299999999997</v>
      </c>
      <c r="G244" s="2">
        <v>0.47776400000000002</v>
      </c>
      <c r="H244" s="2">
        <v>7.9979999999999996E-2</v>
      </c>
      <c r="I244" s="2">
        <v>5.6410000000000002E-3</v>
      </c>
      <c r="J244" s="2">
        <v>5.8830000000000002E-3</v>
      </c>
      <c r="K244" s="2">
        <v>3.2000000000000003E-4</v>
      </c>
      <c r="L244" s="2">
        <v>0.19053700000000001</v>
      </c>
      <c r="M244" s="2">
        <v>0.28236099999999997</v>
      </c>
      <c r="N244" s="2">
        <v>6.5252369999999997</v>
      </c>
    </row>
    <row r="245" spans="1:14" x14ac:dyDescent="0.35">
      <c r="A245" s="2" t="s">
        <v>252</v>
      </c>
      <c r="B245" s="3">
        <f t="shared" si="3"/>
        <v>33756</v>
      </c>
      <c r="C245" s="2">
        <v>1.560214</v>
      </c>
      <c r="D245" s="2">
        <v>1.361629</v>
      </c>
      <c r="E245" s="2">
        <v>2.7498269999999998</v>
      </c>
      <c r="F245" s="2">
        <v>5.6755389999999997</v>
      </c>
      <c r="G245" s="2">
        <v>0.53595899999999996</v>
      </c>
      <c r="H245" s="2">
        <v>8.0819000000000002E-2</v>
      </c>
      <c r="I245" s="2">
        <v>5.5560000000000002E-3</v>
      </c>
      <c r="J245" s="2">
        <v>5.9309999999999996E-3</v>
      </c>
      <c r="K245" s="2">
        <v>2.5599999999999999E-4</v>
      </c>
      <c r="L245" s="2">
        <v>0.230985</v>
      </c>
      <c r="M245" s="2">
        <v>0.323546</v>
      </c>
      <c r="N245" s="2">
        <v>6.5408749999999998</v>
      </c>
    </row>
    <row r="246" spans="1:14" x14ac:dyDescent="0.35">
      <c r="A246" s="2" t="s">
        <v>253</v>
      </c>
      <c r="B246" s="3">
        <f t="shared" si="3"/>
        <v>33786</v>
      </c>
      <c r="C246" s="2">
        <v>1.780586</v>
      </c>
      <c r="D246" s="2">
        <v>1.4272579999999999</v>
      </c>
      <c r="E246" s="2">
        <v>2.866714</v>
      </c>
      <c r="F246" s="2">
        <v>6.0763540000000003</v>
      </c>
      <c r="G246" s="2">
        <v>0.58688600000000002</v>
      </c>
      <c r="H246" s="2">
        <v>7.0670999999999998E-2</v>
      </c>
      <c r="I246" s="2">
        <v>5.6540000000000002E-3</v>
      </c>
      <c r="J246" s="2">
        <v>6.2740000000000001E-3</v>
      </c>
      <c r="K246" s="2">
        <v>2.5599999999999999E-4</v>
      </c>
      <c r="L246" s="2">
        <v>0.25014999999999998</v>
      </c>
      <c r="M246" s="2">
        <v>0.333005</v>
      </c>
      <c r="N246" s="2">
        <v>7.0058550000000004</v>
      </c>
    </row>
    <row r="247" spans="1:14" x14ac:dyDescent="0.35">
      <c r="A247" s="2" t="s">
        <v>254</v>
      </c>
      <c r="B247" s="3">
        <f t="shared" si="3"/>
        <v>33817</v>
      </c>
      <c r="C247" s="2">
        <v>1.708952</v>
      </c>
      <c r="D247" s="2">
        <v>1.369896</v>
      </c>
      <c r="E247" s="2">
        <v>2.834168</v>
      </c>
      <c r="F247" s="2">
        <v>5.9156060000000004</v>
      </c>
      <c r="G247" s="2">
        <v>0.61418300000000003</v>
      </c>
      <c r="H247" s="2">
        <v>6.5474000000000004E-2</v>
      </c>
      <c r="I247" s="2">
        <v>5.6889999999999996E-3</v>
      </c>
      <c r="J247" s="2">
        <v>6.2049999999999996E-3</v>
      </c>
      <c r="K247" s="2">
        <v>4.8000000000000001E-4</v>
      </c>
      <c r="L247" s="2">
        <v>0.26966200000000001</v>
      </c>
      <c r="M247" s="2">
        <v>0.34750999999999999</v>
      </c>
      <c r="N247" s="2">
        <v>6.8852989999999998</v>
      </c>
    </row>
    <row r="248" spans="1:14" x14ac:dyDescent="0.35">
      <c r="A248" s="2" t="s">
        <v>255</v>
      </c>
      <c r="B248" s="3">
        <f t="shared" si="3"/>
        <v>33848</v>
      </c>
      <c r="C248" s="2">
        <v>1.604886</v>
      </c>
      <c r="D248" s="2">
        <v>1.3471900000000001</v>
      </c>
      <c r="E248" s="2">
        <v>2.7277589999999998</v>
      </c>
      <c r="F248" s="2">
        <v>5.6826759999999998</v>
      </c>
      <c r="G248" s="2">
        <v>0.53317800000000004</v>
      </c>
      <c r="H248" s="2">
        <v>6.0474E-2</v>
      </c>
      <c r="I248" s="2">
        <v>5.326E-3</v>
      </c>
      <c r="J248" s="2">
        <v>5.6280000000000002E-3</v>
      </c>
      <c r="K248" s="2">
        <v>1.088E-3</v>
      </c>
      <c r="L248" s="2">
        <v>0.25151099999999998</v>
      </c>
      <c r="M248" s="2">
        <v>0.32402700000000001</v>
      </c>
      <c r="N248" s="2">
        <v>6.5479339999999997</v>
      </c>
    </row>
    <row r="249" spans="1:14" x14ac:dyDescent="0.35">
      <c r="A249" s="2" t="s">
        <v>256</v>
      </c>
      <c r="B249" s="3">
        <f t="shared" si="3"/>
        <v>33878</v>
      </c>
      <c r="C249" s="2">
        <v>1.551277</v>
      </c>
      <c r="D249" s="2">
        <v>1.4537420000000001</v>
      </c>
      <c r="E249" s="2">
        <v>2.9009019999999999</v>
      </c>
      <c r="F249" s="2">
        <v>5.9089119999999999</v>
      </c>
      <c r="G249" s="2">
        <v>0.51081699999999997</v>
      </c>
      <c r="H249" s="2">
        <v>5.9473999999999999E-2</v>
      </c>
      <c r="I249" s="2">
        <v>5.5999999999999999E-3</v>
      </c>
      <c r="J249" s="2">
        <v>5.1149999999999998E-3</v>
      </c>
      <c r="K249" s="2">
        <v>8.3199999999999995E-4</v>
      </c>
      <c r="L249" s="2">
        <v>0.26954499999999998</v>
      </c>
      <c r="M249" s="2">
        <v>0.34056500000000001</v>
      </c>
      <c r="N249" s="2">
        <v>6.7695129999999999</v>
      </c>
    </row>
    <row r="250" spans="1:14" x14ac:dyDescent="0.35">
      <c r="A250" s="2" t="s">
        <v>257</v>
      </c>
      <c r="B250" s="3">
        <f t="shared" si="3"/>
        <v>33909</v>
      </c>
      <c r="C250" s="2">
        <v>1.549587</v>
      </c>
      <c r="D250" s="2">
        <v>1.7594719999999999</v>
      </c>
      <c r="E250" s="2">
        <v>2.7301419999999998</v>
      </c>
      <c r="F250" s="2">
        <v>6.0404220000000004</v>
      </c>
      <c r="G250" s="2">
        <v>0.53114700000000004</v>
      </c>
      <c r="H250" s="2">
        <v>6.9963999999999998E-2</v>
      </c>
      <c r="I250" s="2">
        <v>5.5539999999999999E-3</v>
      </c>
      <c r="J250" s="2">
        <v>4.1869999999999997E-3</v>
      </c>
      <c r="K250" s="2">
        <v>9.6000000000000002E-4</v>
      </c>
      <c r="L250" s="2">
        <v>0.26438299999999998</v>
      </c>
      <c r="M250" s="2">
        <v>0.34504800000000002</v>
      </c>
      <c r="N250" s="2">
        <v>6.9250439999999998</v>
      </c>
    </row>
    <row r="251" spans="1:14" x14ac:dyDescent="0.35">
      <c r="A251" s="2" t="s">
        <v>258</v>
      </c>
      <c r="B251" s="3">
        <f t="shared" si="3"/>
        <v>33939</v>
      </c>
      <c r="C251" s="2">
        <v>1.7004779999999999</v>
      </c>
      <c r="D251" s="2">
        <v>2.2142710000000001</v>
      </c>
      <c r="E251" s="2">
        <v>2.962189</v>
      </c>
      <c r="F251" s="2">
        <v>6.8818070000000002</v>
      </c>
      <c r="G251" s="2">
        <v>0.60810600000000004</v>
      </c>
      <c r="H251" s="2">
        <v>8.5579000000000002E-2</v>
      </c>
      <c r="I251" s="2">
        <v>5.633E-3</v>
      </c>
      <c r="J251" s="2">
        <v>3.9139999999999999E-3</v>
      </c>
      <c r="K251" s="2">
        <v>1.1839999999999999E-3</v>
      </c>
      <c r="L251" s="2">
        <v>0.26389099999999999</v>
      </c>
      <c r="M251" s="2">
        <v>0.36020000000000002</v>
      </c>
      <c r="N251" s="2">
        <v>7.8587199999999999</v>
      </c>
    </row>
    <row r="252" spans="1:14" x14ac:dyDescent="0.35">
      <c r="A252" s="2" t="s">
        <v>259</v>
      </c>
      <c r="B252" s="3">
        <f t="shared" si="3"/>
        <v>33970</v>
      </c>
      <c r="C252" s="2">
        <v>1.6947319999999999</v>
      </c>
      <c r="D252" s="2">
        <v>2.3658920000000001</v>
      </c>
      <c r="E252" s="2">
        <v>2.6503619999999999</v>
      </c>
      <c r="F252" s="2">
        <v>6.7148849999999998</v>
      </c>
      <c r="G252" s="2">
        <v>0.62053599999999998</v>
      </c>
      <c r="H252" s="2">
        <v>8.8872999999999994E-2</v>
      </c>
      <c r="I252" s="2">
        <v>5.9930000000000001E-3</v>
      </c>
      <c r="J252" s="2">
        <v>3.2880000000000001E-3</v>
      </c>
      <c r="K252" s="2">
        <v>8.4400000000000002E-4</v>
      </c>
      <c r="L252" s="2">
        <v>0.27348699999999998</v>
      </c>
      <c r="M252" s="2">
        <v>0.37248500000000001</v>
      </c>
      <c r="N252" s="2">
        <v>7.7154350000000003</v>
      </c>
    </row>
    <row r="253" spans="1:14" x14ac:dyDescent="0.35">
      <c r="A253" s="2" t="s">
        <v>260</v>
      </c>
      <c r="B253" s="3">
        <f t="shared" si="3"/>
        <v>34001</v>
      </c>
      <c r="C253" s="2">
        <v>1.571442</v>
      </c>
      <c r="D253" s="2">
        <v>2.246705</v>
      </c>
      <c r="E253" s="2">
        <v>2.5777610000000002</v>
      </c>
      <c r="F253" s="2">
        <v>6.3959450000000002</v>
      </c>
      <c r="G253" s="2">
        <v>0.53905599999999998</v>
      </c>
      <c r="H253" s="2">
        <v>7.1730000000000002E-2</v>
      </c>
      <c r="I253" s="2">
        <v>5.7520000000000002E-3</v>
      </c>
      <c r="J253" s="2">
        <v>3.5699999999999998E-3</v>
      </c>
      <c r="K253" s="2">
        <v>1.6899999999999999E-4</v>
      </c>
      <c r="L253" s="2">
        <v>0.24135599999999999</v>
      </c>
      <c r="M253" s="2">
        <v>0.322577</v>
      </c>
      <c r="N253" s="2">
        <v>7.2646389999999998</v>
      </c>
    </row>
    <row r="254" spans="1:14" x14ac:dyDescent="0.35">
      <c r="A254" s="2" t="s">
        <v>261</v>
      </c>
      <c r="B254" s="3">
        <f t="shared" si="3"/>
        <v>34029</v>
      </c>
      <c r="C254" s="2">
        <v>1.642407</v>
      </c>
      <c r="D254" s="2">
        <v>2.2249150000000002</v>
      </c>
      <c r="E254" s="2">
        <v>2.901662</v>
      </c>
      <c r="F254" s="2">
        <v>6.7715930000000002</v>
      </c>
      <c r="G254" s="2">
        <v>0.48954599999999998</v>
      </c>
      <c r="H254" s="2">
        <v>8.3867999999999998E-2</v>
      </c>
      <c r="I254" s="2">
        <v>6.0569999999999999E-3</v>
      </c>
      <c r="J254" s="2">
        <v>4.9540000000000001E-3</v>
      </c>
      <c r="K254" s="2">
        <v>1.7730000000000001E-3</v>
      </c>
      <c r="L254" s="2">
        <v>0.26342599999999999</v>
      </c>
      <c r="M254" s="2">
        <v>0.36007699999999998</v>
      </c>
      <c r="N254" s="2">
        <v>7.6281639999999999</v>
      </c>
    </row>
    <row r="255" spans="1:14" x14ac:dyDescent="0.35">
      <c r="A255" s="2" t="s">
        <v>262</v>
      </c>
      <c r="B255" s="3">
        <f t="shared" si="3"/>
        <v>34060</v>
      </c>
      <c r="C255" s="2">
        <v>1.4717100000000001</v>
      </c>
      <c r="D255" s="2">
        <v>1.749112</v>
      </c>
      <c r="E255" s="2">
        <v>2.6933850000000001</v>
      </c>
      <c r="F255" s="2">
        <v>5.9171620000000003</v>
      </c>
      <c r="G255" s="2">
        <v>0.45375799999999999</v>
      </c>
      <c r="H255" s="2">
        <v>9.0980000000000005E-2</v>
      </c>
      <c r="I255" s="2">
        <v>5.9849999999999999E-3</v>
      </c>
      <c r="J255" s="2">
        <v>5.5149999999999999E-3</v>
      </c>
      <c r="K255" s="2">
        <v>1.266E-3</v>
      </c>
      <c r="L255" s="2">
        <v>0.22608600000000001</v>
      </c>
      <c r="M255" s="2">
        <v>0.32983099999999999</v>
      </c>
      <c r="N255" s="2">
        <v>6.7059550000000003</v>
      </c>
    </row>
    <row r="256" spans="1:14" x14ac:dyDescent="0.35">
      <c r="A256" s="2" t="s">
        <v>263</v>
      </c>
      <c r="B256" s="3">
        <f t="shared" si="3"/>
        <v>34090</v>
      </c>
      <c r="C256" s="2">
        <v>1.4777769999999999</v>
      </c>
      <c r="D256" s="2">
        <v>1.3583540000000001</v>
      </c>
      <c r="E256" s="2">
        <v>2.7391909999999999</v>
      </c>
      <c r="F256" s="2">
        <v>5.5769159999999998</v>
      </c>
      <c r="G256" s="2">
        <v>0.529053</v>
      </c>
      <c r="H256" s="2">
        <v>0.104743</v>
      </c>
      <c r="I256" s="2">
        <v>5.4720000000000003E-3</v>
      </c>
      <c r="J256" s="2">
        <v>6.0530000000000002E-3</v>
      </c>
      <c r="K256" s="2">
        <v>1.266E-3</v>
      </c>
      <c r="L256" s="2">
        <v>0.19500999999999999</v>
      </c>
      <c r="M256" s="2">
        <v>0.31254399999999999</v>
      </c>
      <c r="N256" s="2">
        <v>6.4220420000000003</v>
      </c>
    </row>
    <row r="257" spans="1:14" x14ac:dyDescent="0.35">
      <c r="A257" s="2" t="s">
        <v>264</v>
      </c>
      <c r="B257" s="3">
        <f t="shared" si="3"/>
        <v>34121</v>
      </c>
      <c r="C257" s="2">
        <v>1.6518299999999999</v>
      </c>
      <c r="D257" s="2">
        <v>1.371653</v>
      </c>
      <c r="E257" s="2">
        <v>2.7537419999999999</v>
      </c>
      <c r="F257" s="2">
        <v>5.7806329999999999</v>
      </c>
      <c r="G257" s="2">
        <v>0.55272200000000005</v>
      </c>
      <c r="H257" s="2">
        <v>9.5182000000000003E-2</v>
      </c>
      <c r="I257" s="2">
        <v>5.4710000000000002E-3</v>
      </c>
      <c r="J257" s="2">
        <v>6.058E-3</v>
      </c>
      <c r="K257" s="2">
        <v>2.9500000000000001E-4</v>
      </c>
      <c r="L257" s="2">
        <v>0.196963</v>
      </c>
      <c r="M257" s="2">
        <v>0.30396800000000002</v>
      </c>
      <c r="N257" s="2">
        <v>6.6409289999999999</v>
      </c>
    </row>
    <row r="258" spans="1:14" x14ac:dyDescent="0.35">
      <c r="A258" s="2" t="s">
        <v>265</v>
      </c>
      <c r="B258" s="3">
        <f t="shared" si="3"/>
        <v>34151</v>
      </c>
      <c r="C258" s="2">
        <v>1.879354</v>
      </c>
      <c r="D258" s="2">
        <v>1.4535119999999999</v>
      </c>
      <c r="E258" s="2">
        <v>2.8824070000000002</v>
      </c>
      <c r="F258" s="2">
        <v>6.2142179999999998</v>
      </c>
      <c r="G258" s="2">
        <v>0.593499</v>
      </c>
      <c r="H258" s="2">
        <v>8.4360000000000004E-2</v>
      </c>
      <c r="I258" s="2">
        <v>5.9389999999999998E-3</v>
      </c>
      <c r="J258" s="2">
        <v>6.4450000000000002E-3</v>
      </c>
      <c r="K258" s="2">
        <v>4.64E-4</v>
      </c>
      <c r="L258" s="2">
        <v>0.21251600000000001</v>
      </c>
      <c r="M258" s="2">
        <v>0.30972499999999997</v>
      </c>
      <c r="N258" s="2">
        <v>7.1259779999999999</v>
      </c>
    </row>
    <row r="259" spans="1:14" x14ac:dyDescent="0.35">
      <c r="A259" s="2" t="s">
        <v>266</v>
      </c>
      <c r="B259" s="3">
        <f t="shared" si="3"/>
        <v>34182</v>
      </c>
      <c r="C259" s="2">
        <v>1.8616539999999999</v>
      </c>
      <c r="D259" s="2">
        <v>1.477754</v>
      </c>
      <c r="E259" s="2">
        <v>2.8863910000000002</v>
      </c>
      <c r="F259" s="2">
        <v>6.2303699999999997</v>
      </c>
      <c r="G259" s="2">
        <v>0.590418</v>
      </c>
      <c r="H259" s="2">
        <v>7.1586999999999998E-2</v>
      </c>
      <c r="I259" s="2">
        <v>6.0140000000000002E-3</v>
      </c>
      <c r="J259" s="2">
        <v>6.4009999999999996E-3</v>
      </c>
      <c r="K259" s="2">
        <v>2.5300000000000002E-4</v>
      </c>
      <c r="L259" s="2">
        <v>0.26150699999999999</v>
      </c>
      <c r="M259" s="2">
        <v>0.34576200000000001</v>
      </c>
      <c r="N259" s="2">
        <v>7.1775039999999999</v>
      </c>
    </row>
    <row r="260" spans="1:14" x14ac:dyDescent="0.35">
      <c r="A260" s="2" t="s">
        <v>267</v>
      </c>
      <c r="B260" s="3">
        <f t="shared" si="3"/>
        <v>34213</v>
      </c>
      <c r="C260" s="2">
        <v>1.6133219999999999</v>
      </c>
      <c r="D260" s="2">
        <v>1.3603179999999999</v>
      </c>
      <c r="E260" s="2">
        <v>2.8459059999999998</v>
      </c>
      <c r="F260" s="2">
        <v>5.8178830000000001</v>
      </c>
      <c r="G260" s="2">
        <v>0.52508100000000002</v>
      </c>
      <c r="H260" s="2">
        <v>6.2245000000000002E-2</v>
      </c>
      <c r="I260" s="2">
        <v>5.803E-3</v>
      </c>
      <c r="J260" s="2">
        <v>5.8180000000000003E-3</v>
      </c>
      <c r="K260" s="2">
        <v>4.64E-4</v>
      </c>
      <c r="L260" s="2">
        <v>0.251085</v>
      </c>
      <c r="M260" s="2">
        <v>0.32541599999999998</v>
      </c>
      <c r="N260" s="2">
        <v>6.6782450000000004</v>
      </c>
    </row>
    <row r="261" spans="1:14" x14ac:dyDescent="0.35">
      <c r="A261" s="2" t="s">
        <v>268</v>
      </c>
      <c r="B261" s="3">
        <f t="shared" si="3"/>
        <v>34243</v>
      </c>
      <c r="C261" s="2">
        <v>1.598503</v>
      </c>
      <c r="D261" s="2">
        <v>1.5689850000000001</v>
      </c>
      <c r="E261" s="2">
        <v>2.8637670000000002</v>
      </c>
      <c r="F261" s="2">
        <v>6.0364190000000004</v>
      </c>
      <c r="G261" s="2">
        <v>0.46673799999999999</v>
      </c>
      <c r="H261" s="2">
        <v>6.2087000000000003E-2</v>
      </c>
      <c r="I261" s="2">
        <v>5.7959999999999999E-3</v>
      </c>
      <c r="J261" s="2">
        <v>5.2430000000000003E-3</v>
      </c>
      <c r="K261" s="2">
        <v>9.7099999999999997E-4</v>
      </c>
      <c r="L261" s="2">
        <v>0.25753999999999999</v>
      </c>
      <c r="M261" s="2">
        <v>0.33163700000000002</v>
      </c>
      <c r="N261" s="2">
        <v>6.845783</v>
      </c>
    </row>
    <row r="262" spans="1:14" x14ac:dyDescent="0.35">
      <c r="A262" s="2" t="s">
        <v>269</v>
      </c>
      <c r="B262" s="3">
        <f t="shared" si="3"/>
        <v>34274</v>
      </c>
      <c r="C262" s="2">
        <v>1.616403</v>
      </c>
      <c r="D262" s="2">
        <v>1.84491</v>
      </c>
      <c r="E262" s="2">
        <v>2.8322989999999999</v>
      </c>
      <c r="F262" s="2">
        <v>6.2942660000000004</v>
      </c>
      <c r="G262" s="2">
        <v>0.49224299999999999</v>
      </c>
      <c r="H262" s="2">
        <v>6.4728999999999995E-2</v>
      </c>
      <c r="I262" s="2">
        <v>5.7149999999999996E-3</v>
      </c>
      <c r="J262" s="2">
        <v>4.2969999999999996E-3</v>
      </c>
      <c r="K262" s="2">
        <v>1.562E-3</v>
      </c>
      <c r="L262" s="2">
        <v>0.26383000000000001</v>
      </c>
      <c r="M262" s="2">
        <v>0.34013199999999999</v>
      </c>
      <c r="N262" s="2">
        <v>7.1369020000000001</v>
      </c>
    </row>
    <row r="263" spans="1:14" x14ac:dyDescent="0.35">
      <c r="A263" s="2" t="s">
        <v>270</v>
      </c>
      <c r="B263" s="3">
        <f t="shared" si="3"/>
        <v>34304</v>
      </c>
      <c r="C263" s="2">
        <v>1.756016</v>
      </c>
      <c r="D263" s="2">
        <v>2.20689</v>
      </c>
      <c r="E263" s="2">
        <v>2.9620009999999999</v>
      </c>
      <c r="F263" s="2">
        <v>6.9298409999999997</v>
      </c>
      <c r="G263" s="2">
        <v>0.55784800000000001</v>
      </c>
      <c r="H263" s="2">
        <v>7.6661999999999994E-2</v>
      </c>
      <c r="I263" s="2">
        <v>5.8859999999999997E-3</v>
      </c>
      <c r="J263" s="2">
        <v>4.0390000000000001E-3</v>
      </c>
      <c r="K263" s="2">
        <v>9.2900000000000003E-4</v>
      </c>
      <c r="L263" s="2">
        <v>0.26536700000000002</v>
      </c>
      <c r="M263" s="2">
        <v>0.35288199999999997</v>
      </c>
      <c r="N263" s="2">
        <v>7.8510030000000004</v>
      </c>
    </row>
    <row r="264" spans="1:14" x14ac:dyDescent="0.35">
      <c r="A264" s="2" t="s">
        <v>271</v>
      </c>
      <c r="B264" s="3">
        <f t="shared" si="3"/>
        <v>34335</v>
      </c>
      <c r="C264" s="2">
        <v>1.8501669999999999</v>
      </c>
      <c r="D264" s="2">
        <v>2.6158939999999999</v>
      </c>
      <c r="E264" s="2">
        <v>2.9600620000000002</v>
      </c>
      <c r="F264" s="2">
        <v>7.4318759999999999</v>
      </c>
      <c r="G264" s="2">
        <v>0.59416199999999997</v>
      </c>
      <c r="H264" s="2">
        <v>7.2773000000000004E-2</v>
      </c>
      <c r="I264" s="2">
        <v>5.9410000000000001E-3</v>
      </c>
      <c r="J264" s="2">
        <v>3.4320000000000002E-3</v>
      </c>
      <c r="K264" s="2">
        <v>0</v>
      </c>
      <c r="L264" s="2">
        <v>0.30764399999999997</v>
      </c>
      <c r="M264" s="2">
        <v>0.38979000000000003</v>
      </c>
      <c r="N264" s="2">
        <v>8.4273000000000007</v>
      </c>
    </row>
    <row r="265" spans="1:14" x14ac:dyDescent="0.35">
      <c r="A265" s="2" t="s">
        <v>272</v>
      </c>
      <c r="B265" s="3">
        <f t="shared" si="3"/>
        <v>34366</v>
      </c>
      <c r="C265" s="2">
        <v>1.6095219999999999</v>
      </c>
      <c r="D265" s="2">
        <v>2.3846419999999999</v>
      </c>
      <c r="E265" s="2">
        <v>2.7376260000000001</v>
      </c>
      <c r="F265" s="2">
        <v>6.7332039999999997</v>
      </c>
      <c r="G265" s="2">
        <v>0.520733</v>
      </c>
      <c r="H265" s="2">
        <v>6.9737999999999994E-2</v>
      </c>
      <c r="I265" s="2">
        <v>5.3969999999999999E-3</v>
      </c>
      <c r="J265" s="2">
        <v>3.6800000000000001E-3</v>
      </c>
      <c r="K265" s="2">
        <v>3.4299999999999999E-4</v>
      </c>
      <c r="L265" s="2">
        <v>0.245198</v>
      </c>
      <c r="M265" s="2">
        <v>0.324355</v>
      </c>
      <c r="N265" s="2">
        <v>7.5913300000000001</v>
      </c>
    </row>
    <row r="266" spans="1:14" x14ac:dyDescent="0.35">
      <c r="A266" s="2" t="s">
        <v>273</v>
      </c>
      <c r="B266" s="3">
        <f t="shared" si="3"/>
        <v>34394</v>
      </c>
      <c r="C266" s="2">
        <v>1.625221</v>
      </c>
      <c r="D266" s="2">
        <v>2.1199300000000001</v>
      </c>
      <c r="E266" s="2">
        <v>2.85541</v>
      </c>
      <c r="F266" s="2">
        <v>6.6054459999999997</v>
      </c>
      <c r="G266" s="2">
        <v>0.51182899999999998</v>
      </c>
      <c r="H266" s="2">
        <v>8.0507999999999996E-2</v>
      </c>
      <c r="I266" s="2">
        <v>5.5370000000000003E-3</v>
      </c>
      <c r="J266" s="2">
        <v>5.1370000000000001E-3</v>
      </c>
      <c r="K266" s="2">
        <v>1.8649999999999999E-3</v>
      </c>
      <c r="L266" s="2">
        <v>0.26174900000000001</v>
      </c>
      <c r="M266" s="2">
        <v>0.35479699999999997</v>
      </c>
      <c r="N266" s="2">
        <v>7.4874749999999999</v>
      </c>
    </row>
    <row r="267" spans="1:14" x14ac:dyDescent="0.35">
      <c r="A267" s="2" t="s">
        <v>274</v>
      </c>
      <c r="B267" s="3">
        <f t="shared" si="3"/>
        <v>34425</v>
      </c>
      <c r="C267" s="2">
        <v>1.4766619999999999</v>
      </c>
      <c r="D267" s="2">
        <v>1.7094389999999999</v>
      </c>
      <c r="E267" s="2">
        <v>2.8083969999999998</v>
      </c>
      <c r="F267" s="2">
        <v>6.0001769999999999</v>
      </c>
      <c r="G267" s="2">
        <v>0.45144400000000001</v>
      </c>
      <c r="H267" s="2">
        <v>8.4264000000000006E-2</v>
      </c>
      <c r="I267" s="2">
        <v>5.6080000000000001E-3</v>
      </c>
      <c r="J267" s="2">
        <v>5.64E-3</v>
      </c>
      <c r="K267" s="2">
        <v>1.408E-3</v>
      </c>
      <c r="L267" s="2">
        <v>0.23669699999999999</v>
      </c>
      <c r="M267" s="2">
        <v>0.33361800000000003</v>
      </c>
      <c r="N267" s="2">
        <v>6.7963079999999998</v>
      </c>
    </row>
    <row r="268" spans="1:14" x14ac:dyDescent="0.35">
      <c r="A268" s="2" t="s">
        <v>275</v>
      </c>
      <c r="B268" s="3">
        <f t="shared" si="3"/>
        <v>34455</v>
      </c>
      <c r="C268" s="2">
        <v>1.5428820000000001</v>
      </c>
      <c r="D268" s="2">
        <v>1.4670240000000001</v>
      </c>
      <c r="E268" s="2">
        <v>2.8572000000000002</v>
      </c>
      <c r="F268" s="2">
        <v>5.8726979999999998</v>
      </c>
      <c r="G268" s="2">
        <v>0.50718399999999997</v>
      </c>
      <c r="H268" s="2">
        <v>8.8353000000000001E-2</v>
      </c>
      <c r="I268" s="2">
        <v>5.5599999999999998E-3</v>
      </c>
      <c r="J268" s="2">
        <v>6.2160000000000002E-3</v>
      </c>
      <c r="K268" s="2">
        <v>1.256E-3</v>
      </c>
      <c r="L268" s="2">
        <v>0.202317</v>
      </c>
      <c r="M268" s="2">
        <v>0.30370200000000003</v>
      </c>
      <c r="N268" s="2">
        <v>6.6954719999999996</v>
      </c>
    </row>
    <row r="269" spans="1:14" x14ac:dyDescent="0.35">
      <c r="A269" s="2" t="s">
        <v>276</v>
      </c>
      <c r="B269" s="3">
        <f t="shared" ref="B269:B332" si="4">DATEVALUE(MID(A269, 6, 20) &amp; " 1, " &amp; LEFT(A269, 4))</f>
        <v>34486</v>
      </c>
      <c r="C269" s="2">
        <v>1.7566269999999999</v>
      </c>
      <c r="D269" s="2">
        <v>1.480278</v>
      </c>
      <c r="E269" s="2">
        <v>2.8699340000000002</v>
      </c>
      <c r="F269" s="2">
        <v>6.1117670000000004</v>
      </c>
      <c r="G269" s="2">
        <v>0.54090199999999999</v>
      </c>
      <c r="H269" s="2">
        <v>8.5343000000000002E-2</v>
      </c>
      <c r="I269" s="2">
        <v>5.0730000000000003E-3</v>
      </c>
      <c r="J269" s="2">
        <v>6.2919999999999998E-3</v>
      </c>
      <c r="K269" s="2">
        <v>1.256E-3</v>
      </c>
      <c r="L269" s="2">
        <v>0.21514</v>
      </c>
      <c r="M269" s="2">
        <v>0.31310399999999999</v>
      </c>
      <c r="N269" s="2">
        <v>6.9782590000000004</v>
      </c>
    </row>
    <row r="270" spans="1:14" x14ac:dyDescent="0.35">
      <c r="A270" s="2" t="s">
        <v>277</v>
      </c>
      <c r="B270" s="3">
        <f t="shared" si="4"/>
        <v>34516</v>
      </c>
      <c r="C270" s="2">
        <v>1.8337509999999999</v>
      </c>
      <c r="D270" s="2">
        <v>1.4881120000000001</v>
      </c>
      <c r="E270" s="2">
        <v>2.8942100000000002</v>
      </c>
      <c r="F270" s="2">
        <v>6.2206590000000004</v>
      </c>
      <c r="G270" s="2">
        <v>0.61795</v>
      </c>
      <c r="H270" s="2">
        <v>7.9712000000000005E-2</v>
      </c>
      <c r="I270" s="2">
        <v>5.3470000000000002E-3</v>
      </c>
      <c r="J270" s="2">
        <v>6.5839999999999996E-3</v>
      </c>
      <c r="K270" s="2">
        <v>6.4700000000000001E-4</v>
      </c>
      <c r="L270" s="2">
        <v>0.27411799999999997</v>
      </c>
      <c r="M270" s="2">
        <v>0.36640800000000001</v>
      </c>
      <c r="N270" s="2">
        <v>7.2190849999999998</v>
      </c>
    </row>
    <row r="271" spans="1:14" x14ac:dyDescent="0.35">
      <c r="A271" s="2" t="s">
        <v>278</v>
      </c>
      <c r="B271" s="3">
        <f t="shared" si="4"/>
        <v>34547</v>
      </c>
      <c r="C271" s="2">
        <v>1.815447</v>
      </c>
      <c r="D271" s="2">
        <v>1.5206230000000001</v>
      </c>
      <c r="E271" s="2">
        <v>3.0042599999999999</v>
      </c>
      <c r="F271" s="2">
        <v>6.3450639999999998</v>
      </c>
      <c r="G271" s="2">
        <v>0.62820699999999996</v>
      </c>
      <c r="H271" s="2">
        <v>6.9256999999999999E-2</v>
      </c>
      <c r="I271" s="2">
        <v>5.777E-3</v>
      </c>
      <c r="J271" s="2">
        <v>6.4710000000000002E-3</v>
      </c>
      <c r="K271" s="2">
        <v>4.57E-4</v>
      </c>
      <c r="L271" s="2">
        <v>0.25181999999999999</v>
      </c>
      <c r="M271" s="2">
        <v>0.33378200000000002</v>
      </c>
      <c r="N271" s="2">
        <v>7.3216770000000002</v>
      </c>
    </row>
    <row r="272" spans="1:14" x14ac:dyDescent="0.35">
      <c r="A272" s="2" t="s">
        <v>279</v>
      </c>
      <c r="B272" s="3">
        <f t="shared" si="4"/>
        <v>34578</v>
      </c>
      <c r="C272" s="2">
        <v>1.6136109999999999</v>
      </c>
      <c r="D272" s="2">
        <v>1.4401520000000001</v>
      </c>
      <c r="E272" s="2">
        <v>2.7972619999999999</v>
      </c>
      <c r="F272" s="2">
        <v>5.857132</v>
      </c>
      <c r="G272" s="2">
        <v>0.581426</v>
      </c>
      <c r="H272" s="2">
        <v>5.6561E-2</v>
      </c>
      <c r="I272" s="2">
        <v>5.3899999999999998E-3</v>
      </c>
      <c r="J272" s="2">
        <v>5.9490000000000003E-3</v>
      </c>
      <c r="K272" s="2">
        <v>1.0660000000000001E-3</v>
      </c>
      <c r="L272" s="2">
        <v>0.235954</v>
      </c>
      <c r="M272" s="2">
        <v>0.304919</v>
      </c>
      <c r="N272" s="2">
        <v>6.7555430000000003</v>
      </c>
    </row>
    <row r="273" spans="1:14" x14ac:dyDescent="0.35">
      <c r="A273" s="2" t="s">
        <v>280</v>
      </c>
      <c r="B273" s="3">
        <f t="shared" si="4"/>
        <v>34608</v>
      </c>
      <c r="C273" s="2">
        <v>1.579331</v>
      </c>
      <c r="D273" s="2">
        <v>1.5479099999999999</v>
      </c>
      <c r="E273" s="2">
        <v>2.9158019999999998</v>
      </c>
      <c r="F273" s="2">
        <v>6.0506700000000002</v>
      </c>
      <c r="G273" s="2">
        <v>0.52994300000000005</v>
      </c>
      <c r="H273" s="2">
        <v>5.9756999999999998E-2</v>
      </c>
      <c r="I273" s="2">
        <v>5.5380000000000004E-3</v>
      </c>
      <c r="J273" s="2">
        <v>5.4580000000000002E-3</v>
      </c>
      <c r="K273" s="2">
        <v>1.2179999999999999E-3</v>
      </c>
      <c r="L273" s="2">
        <v>0.27310099999999998</v>
      </c>
      <c r="M273" s="2">
        <v>0.34507100000000002</v>
      </c>
      <c r="N273" s="2">
        <v>6.9378820000000001</v>
      </c>
    </row>
    <row r="274" spans="1:14" x14ac:dyDescent="0.35">
      <c r="A274" s="2" t="s">
        <v>281</v>
      </c>
      <c r="B274" s="3">
        <f t="shared" si="4"/>
        <v>34639</v>
      </c>
      <c r="C274" s="2">
        <v>1.531004</v>
      </c>
      <c r="D274" s="2">
        <v>1.7873079999999999</v>
      </c>
      <c r="E274" s="2">
        <v>2.7537750000000001</v>
      </c>
      <c r="F274" s="2">
        <v>6.0753899999999996</v>
      </c>
      <c r="G274" s="2">
        <v>0.57778300000000005</v>
      </c>
      <c r="H274" s="2">
        <v>6.5324999999999994E-2</v>
      </c>
      <c r="I274" s="2">
        <v>5.4539999999999996E-3</v>
      </c>
      <c r="J274" s="2">
        <v>4.4149999999999997E-3</v>
      </c>
      <c r="K274" s="2">
        <v>1.6750000000000001E-3</v>
      </c>
      <c r="L274" s="2">
        <v>0.26108900000000002</v>
      </c>
      <c r="M274" s="2">
        <v>0.33795700000000001</v>
      </c>
      <c r="N274" s="2">
        <v>7.0035080000000001</v>
      </c>
    </row>
    <row r="275" spans="1:14" x14ac:dyDescent="0.35">
      <c r="A275" s="2" t="s">
        <v>282</v>
      </c>
      <c r="B275" s="3">
        <f t="shared" si="4"/>
        <v>34669</v>
      </c>
      <c r="C275" s="2">
        <v>1.675238</v>
      </c>
      <c r="D275" s="2">
        <v>2.166757</v>
      </c>
      <c r="E275" s="2">
        <v>3.0007860000000002</v>
      </c>
      <c r="F275" s="2">
        <v>6.8465020000000001</v>
      </c>
      <c r="G275" s="2">
        <v>0.63231400000000004</v>
      </c>
      <c r="H275" s="2">
        <v>7.5958999999999999E-2</v>
      </c>
      <c r="I275" s="2">
        <v>5.5840000000000004E-3</v>
      </c>
      <c r="J275" s="2">
        <v>4.1359999999999999E-3</v>
      </c>
      <c r="K275" s="2">
        <v>5.71E-4</v>
      </c>
      <c r="L275" s="2">
        <v>0.262708</v>
      </c>
      <c r="M275" s="2">
        <v>0.34895799999999999</v>
      </c>
      <c r="N275" s="2">
        <v>7.8400230000000004</v>
      </c>
    </row>
    <row r="276" spans="1:14" x14ac:dyDescent="0.35">
      <c r="A276" s="2" t="s">
        <v>283</v>
      </c>
      <c r="B276" s="3">
        <f t="shared" si="4"/>
        <v>34700</v>
      </c>
      <c r="C276" s="2">
        <v>1.734081</v>
      </c>
      <c r="D276" s="2">
        <v>2.4833509999999999</v>
      </c>
      <c r="E276" s="2">
        <v>2.8084570000000002</v>
      </c>
      <c r="F276" s="2">
        <v>7.0285149999999996</v>
      </c>
      <c r="G276" s="2">
        <v>0.66553099999999998</v>
      </c>
      <c r="H276" s="2">
        <v>8.4851999999999997E-2</v>
      </c>
      <c r="I276" s="2">
        <v>5.1250000000000002E-3</v>
      </c>
      <c r="J276" s="2">
        <v>3.4150000000000001E-3</v>
      </c>
      <c r="K276" s="2">
        <v>1.9000000000000001E-5</v>
      </c>
      <c r="L276" s="2">
        <v>0.24237300000000001</v>
      </c>
      <c r="M276" s="2">
        <v>0.335783</v>
      </c>
      <c r="N276" s="2">
        <v>8.041245</v>
      </c>
    </row>
    <row r="277" spans="1:14" x14ac:dyDescent="0.35">
      <c r="A277" s="2" t="s">
        <v>284</v>
      </c>
      <c r="B277" s="3">
        <f t="shared" si="4"/>
        <v>34731</v>
      </c>
      <c r="C277" s="2">
        <v>1.564076</v>
      </c>
      <c r="D277" s="2">
        <v>2.277657</v>
      </c>
      <c r="E277" s="2">
        <v>2.7136200000000001</v>
      </c>
      <c r="F277" s="2">
        <v>6.5617580000000002</v>
      </c>
      <c r="G277" s="2">
        <v>0.54487300000000005</v>
      </c>
      <c r="H277" s="2">
        <v>8.5446999999999995E-2</v>
      </c>
      <c r="I277" s="2">
        <v>3.934E-3</v>
      </c>
      <c r="J277" s="2">
        <v>3.692E-3</v>
      </c>
      <c r="K277" s="2">
        <v>8.0000000000000007E-5</v>
      </c>
      <c r="L277" s="2">
        <v>0.20569299999999999</v>
      </c>
      <c r="M277" s="2">
        <v>0.298846</v>
      </c>
      <c r="N277" s="2">
        <v>7.4169559999999999</v>
      </c>
    </row>
    <row r="278" spans="1:14" x14ac:dyDescent="0.35">
      <c r="A278" s="2" t="s">
        <v>285</v>
      </c>
      <c r="B278" s="3">
        <f t="shared" si="4"/>
        <v>34759</v>
      </c>
      <c r="C278" s="2">
        <v>1.5623800000000001</v>
      </c>
      <c r="D278" s="2">
        <v>2.1885729999999999</v>
      </c>
      <c r="E278" s="2">
        <v>2.8753169999999999</v>
      </c>
      <c r="F278" s="2">
        <v>6.633216</v>
      </c>
      <c r="G278" s="2">
        <v>0.54510199999999998</v>
      </c>
      <c r="H278" s="2">
        <v>9.7478999999999996E-2</v>
      </c>
      <c r="I278" s="2">
        <v>4.3319999999999999E-3</v>
      </c>
      <c r="J278" s="2">
        <v>5.1050000000000002E-3</v>
      </c>
      <c r="K278" s="2">
        <v>1.5999999999999999E-5</v>
      </c>
      <c r="L278" s="2">
        <v>0.24002200000000001</v>
      </c>
      <c r="M278" s="2">
        <v>0.34695399999999998</v>
      </c>
      <c r="N278" s="2">
        <v>7.5375230000000002</v>
      </c>
    </row>
    <row r="279" spans="1:14" x14ac:dyDescent="0.35">
      <c r="A279" s="2" t="s">
        <v>286</v>
      </c>
      <c r="B279" s="3">
        <f t="shared" si="4"/>
        <v>34790</v>
      </c>
      <c r="C279" s="2">
        <v>1.4515279999999999</v>
      </c>
      <c r="D279" s="2">
        <v>1.8605700000000001</v>
      </c>
      <c r="E279" s="2">
        <v>2.7248739999999998</v>
      </c>
      <c r="F279" s="2">
        <v>6.0393980000000003</v>
      </c>
      <c r="G279" s="2">
        <v>0.51821499999999998</v>
      </c>
      <c r="H279" s="2">
        <v>8.3847000000000005E-2</v>
      </c>
      <c r="I279" s="2">
        <v>3.8700000000000002E-3</v>
      </c>
      <c r="J279" s="2">
        <v>5.7349999999999996E-3</v>
      </c>
      <c r="K279" s="2">
        <v>2.3E-5</v>
      </c>
      <c r="L279" s="2">
        <v>0.26729000000000003</v>
      </c>
      <c r="M279" s="2">
        <v>0.360765</v>
      </c>
      <c r="N279" s="2">
        <v>6.9301250000000003</v>
      </c>
    </row>
    <row r="280" spans="1:14" x14ac:dyDescent="0.35">
      <c r="A280" s="2" t="s">
        <v>287</v>
      </c>
      <c r="B280" s="3">
        <f t="shared" si="4"/>
        <v>34820</v>
      </c>
      <c r="C280" s="2">
        <v>1.525782</v>
      </c>
      <c r="D280" s="2">
        <v>1.65096</v>
      </c>
      <c r="E280" s="2">
        <v>2.8509799999999998</v>
      </c>
      <c r="F280" s="2">
        <v>6.0352810000000003</v>
      </c>
      <c r="G280" s="2">
        <v>0.57144399999999995</v>
      </c>
      <c r="H280" s="2">
        <v>9.4791E-2</v>
      </c>
      <c r="I280" s="2">
        <v>3.6489999999999999E-3</v>
      </c>
      <c r="J280" s="2">
        <v>6.3699999999999998E-3</v>
      </c>
      <c r="K280" s="2">
        <v>1.3940000000000001E-3</v>
      </c>
      <c r="L280" s="2">
        <v>0.225827</v>
      </c>
      <c r="M280" s="2">
        <v>0.33202999999999999</v>
      </c>
      <c r="N280" s="2">
        <v>6.9506870000000003</v>
      </c>
    </row>
    <row r="281" spans="1:14" x14ac:dyDescent="0.35">
      <c r="A281" s="2" t="s">
        <v>288</v>
      </c>
      <c r="B281" s="3">
        <f t="shared" si="4"/>
        <v>34851</v>
      </c>
      <c r="C281" s="2">
        <v>1.6661550000000001</v>
      </c>
      <c r="D281" s="2">
        <v>1.4884649999999999</v>
      </c>
      <c r="E281" s="2">
        <v>2.9088820000000002</v>
      </c>
      <c r="F281" s="2">
        <v>6.06616</v>
      </c>
      <c r="G281" s="2">
        <v>0.59239399999999998</v>
      </c>
      <c r="H281" s="2">
        <v>0.103128</v>
      </c>
      <c r="I281" s="2">
        <v>3.8579999999999999E-3</v>
      </c>
      <c r="J281" s="2">
        <v>6.4710000000000002E-3</v>
      </c>
      <c r="K281" s="2">
        <v>1.701E-3</v>
      </c>
      <c r="L281" s="2">
        <v>0.22795699999999999</v>
      </c>
      <c r="M281" s="2">
        <v>0.34311599999999998</v>
      </c>
      <c r="N281" s="2">
        <v>7.0138800000000003</v>
      </c>
    </row>
    <row r="282" spans="1:14" x14ac:dyDescent="0.35">
      <c r="A282" s="2" t="s">
        <v>289</v>
      </c>
      <c r="B282" s="3">
        <f t="shared" si="4"/>
        <v>34881</v>
      </c>
      <c r="C282" s="2">
        <v>1.8927320000000001</v>
      </c>
      <c r="D282" s="2">
        <v>1.6245799999999999</v>
      </c>
      <c r="E282" s="2">
        <v>2.8397610000000002</v>
      </c>
      <c r="F282" s="2">
        <v>6.3617419999999996</v>
      </c>
      <c r="G282" s="2">
        <v>0.65182399999999996</v>
      </c>
      <c r="H282" s="2">
        <v>9.3729000000000007E-2</v>
      </c>
      <c r="I282" s="2">
        <v>4.1320000000000003E-3</v>
      </c>
      <c r="J282" s="2">
        <v>6.7499999999999999E-3</v>
      </c>
      <c r="K282" s="2">
        <v>2.1150000000000001E-3</v>
      </c>
      <c r="L282" s="2">
        <v>0.293238</v>
      </c>
      <c r="M282" s="2">
        <v>0.39996399999999999</v>
      </c>
      <c r="N282" s="2">
        <v>7.4257289999999996</v>
      </c>
    </row>
    <row r="283" spans="1:14" x14ac:dyDescent="0.35">
      <c r="A283" s="2" t="s">
        <v>290</v>
      </c>
      <c r="B283" s="3">
        <f t="shared" si="4"/>
        <v>34912</v>
      </c>
      <c r="C283" s="2">
        <v>1.9841359999999999</v>
      </c>
      <c r="D283" s="2">
        <v>1.6959919999999999</v>
      </c>
      <c r="E283" s="2">
        <v>2.9896669999999999</v>
      </c>
      <c r="F283" s="2">
        <v>6.6743319999999997</v>
      </c>
      <c r="G283" s="2">
        <v>0.64786999999999995</v>
      </c>
      <c r="H283" s="2">
        <v>8.3174999999999999E-2</v>
      </c>
      <c r="I283" s="2">
        <v>6.2430000000000003E-3</v>
      </c>
      <c r="J283" s="2">
        <v>6.6740000000000002E-3</v>
      </c>
      <c r="K283" s="2">
        <v>1.8619999999999999E-3</v>
      </c>
      <c r="L283" s="2">
        <v>0.299676</v>
      </c>
      <c r="M283" s="2">
        <v>0.39763100000000001</v>
      </c>
      <c r="N283" s="2">
        <v>7.7346769999999996</v>
      </c>
    </row>
    <row r="284" spans="1:14" x14ac:dyDescent="0.35">
      <c r="A284" s="2" t="s">
        <v>291</v>
      </c>
      <c r="B284" s="3">
        <f t="shared" si="4"/>
        <v>34943</v>
      </c>
      <c r="C284" s="2">
        <v>1.663762</v>
      </c>
      <c r="D284" s="2">
        <v>1.491992</v>
      </c>
      <c r="E284" s="2">
        <v>2.8770419999999999</v>
      </c>
      <c r="F284" s="2">
        <v>6.0403989999999999</v>
      </c>
      <c r="G284" s="2">
        <v>0.58513300000000001</v>
      </c>
      <c r="H284" s="2">
        <v>6.8333000000000005E-2</v>
      </c>
      <c r="I284" s="2">
        <v>4.6899999999999997E-3</v>
      </c>
      <c r="J284" s="2">
        <v>6.0470000000000003E-3</v>
      </c>
      <c r="K284" s="2">
        <v>1.9550000000000001E-3</v>
      </c>
      <c r="L284" s="2">
        <v>0.26883299999999999</v>
      </c>
      <c r="M284" s="2">
        <v>0.349856</v>
      </c>
      <c r="N284" s="2">
        <v>6.9859249999999999</v>
      </c>
    </row>
    <row r="285" spans="1:14" x14ac:dyDescent="0.35">
      <c r="A285" s="2" t="s">
        <v>292</v>
      </c>
      <c r="B285" s="3">
        <f t="shared" si="4"/>
        <v>34973</v>
      </c>
      <c r="C285" s="2">
        <v>1.615666</v>
      </c>
      <c r="D285" s="2">
        <v>1.5612820000000001</v>
      </c>
      <c r="E285" s="2">
        <v>2.9013429999999998</v>
      </c>
      <c r="F285" s="2">
        <v>6.0833349999999999</v>
      </c>
      <c r="G285" s="2">
        <v>0.570461</v>
      </c>
      <c r="H285" s="2">
        <v>7.8992999999999994E-2</v>
      </c>
      <c r="I285" s="2">
        <v>7.1479999999999998E-3</v>
      </c>
      <c r="J285" s="2">
        <v>5.4710000000000002E-3</v>
      </c>
      <c r="K285" s="2">
        <v>8.7600000000000004E-4</v>
      </c>
      <c r="L285" s="2">
        <v>0.29456500000000002</v>
      </c>
      <c r="M285" s="2">
        <v>0.38705299999999998</v>
      </c>
      <c r="N285" s="2">
        <v>7.0504239999999996</v>
      </c>
    </row>
    <row r="286" spans="1:14" x14ac:dyDescent="0.35">
      <c r="A286" s="2" t="s">
        <v>293</v>
      </c>
      <c r="B286" s="3">
        <f t="shared" si="4"/>
        <v>35004</v>
      </c>
      <c r="C286" s="2">
        <v>1.642728</v>
      </c>
      <c r="D286" s="2">
        <v>1.956143</v>
      </c>
      <c r="E286" s="2">
        <v>2.8460510000000001</v>
      </c>
      <c r="F286" s="2">
        <v>6.4515279999999997</v>
      </c>
      <c r="G286" s="2">
        <v>0.55380700000000005</v>
      </c>
      <c r="H286" s="2">
        <v>8.7148000000000003E-2</v>
      </c>
      <c r="I286" s="2">
        <v>6.4920000000000004E-3</v>
      </c>
      <c r="J286" s="2">
        <v>4.4730000000000004E-3</v>
      </c>
      <c r="K286" s="2">
        <v>4.2700000000000002E-4</v>
      </c>
      <c r="L286" s="2">
        <v>0.27249400000000001</v>
      </c>
      <c r="M286" s="2">
        <v>0.37103399999999997</v>
      </c>
      <c r="N286" s="2">
        <v>7.3842559999999997</v>
      </c>
    </row>
    <row r="287" spans="1:14" x14ac:dyDescent="0.35">
      <c r="A287" s="2" t="s">
        <v>294</v>
      </c>
      <c r="B287" s="3">
        <f t="shared" si="4"/>
        <v>35034</v>
      </c>
      <c r="C287" s="2">
        <v>1.785701</v>
      </c>
      <c r="D287" s="2">
        <v>2.3915739999999999</v>
      </c>
      <c r="E287" s="2">
        <v>3.0064250000000001</v>
      </c>
      <c r="F287" s="2">
        <v>7.1876810000000004</v>
      </c>
      <c r="G287" s="2">
        <v>0.62878100000000003</v>
      </c>
      <c r="H287" s="2">
        <v>9.9640000000000006E-2</v>
      </c>
      <c r="I287" s="2">
        <v>6.2750000000000002E-3</v>
      </c>
      <c r="J287" s="2">
        <v>4.1920000000000004E-3</v>
      </c>
      <c r="K287" s="2">
        <v>3.2899999999999997E-4</v>
      </c>
      <c r="L287" s="2">
        <v>0.26317600000000002</v>
      </c>
      <c r="M287" s="2">
        <v>0.37361100000000003</v>
      </c>
      <c r="N287" s="2">
        <v>8.1978550000000006</v>
      </c>
    </row>
    <row r="288" spans="1:14" x14ac:dyDescent="0.35">
      <c r="A288" s="2" t="s">
        <v>295</v>
      </c>
      <c r="B288" s="3">
        <f t="shared" si="4"/>
        <v>35065</v>
      </c>
      <c r="C288" s="2">
        <v>1.8463309999999999</v>
      </c>
      <c r="D288" s="2">
        <v>2.6574949999999999</v>
      </c>
      <c r="E288" s="2">
        <v>2.9912329999999998</v>
      </c>
      <c r="F288" s="2">
        <v>7.4999149999999997</v>
      </c>
      <c r="G288" s="2">
        <v>0.66107499999999997</v>
      </c>
      <c r="H288" s="2">
        <v>0.104821</v>
      </c>
      <c r="I288" s="2">
        <v>4.5909999999999996E-3</v>
      </c>
      <c r="J288" s="2">
        <v>3.4719999999999998E-3</v>
      </c>
      <c r="K288" s="2">
        <v>5.0299999999999997E-4</v>
      </c>
      <c r="L288" s="2">
        <v>0.273586</v>
      </c>
      <c r="M288" s="2">
        <v>0.38697300000000001</v>
      </c>
      <c r="N288" s="2">
        <v>8.555949</v>
      </c>
    </row>
    <row r="289" spans="1:14" x14ac:dyDescent="0.35">
      <c r="A289" s="2" t="s">
        <v>296</v>
      </c>
      <c r="B289" s="3">
        <f t="shared" si="4"/>
        <v>35096</v>
      </c>
      <c r="C289" s="2">
        <v>1.6742980000000001</v>
      </c>
      <c r="D289" s="2">
        <v>2.4048099999999999</v>
      </c>
      <c r="E289" s="2">
        <v>2.8510970000000002</v>
      </c>
      <c r="F289" s="2">
        <v>6.9340960000000003</v>
      </c>
      <c r="G289" s="2">
        <v>0.58740899999999996</v>
      </c>
      <c r="H289" s="2">
        <v>0.108488</v>
      </c>
      <c r="I289" s="2">
        <v>4.5750000000000001E-3</v>
      </c>
      <c r="J289" s="2">
        <v>3.7599999999999999E-3</v>
      </c>
      <c r="K289" s="2">
        <v>3.8200000000000002E-4</v>
      </c>
      <c r="L289" s="2">
        <v>0.22763700000000001</v>
      </c>
      <c r="M289" s="2">
        <v>0.34484199999999998</v>
      </c>
      <c r="N289" s="2">
        <v>7.8759750000000004</v>
      </c>
    </row>
    <row r="290" spans="1:14" x14ac:dyDescent="0.35">
      <c r="A290" s="2" t="s">
        <v>297</v>
      </c>
      <c r="B290" s="3">
        <f t="shared" si="4"/>
        <v>35125</v>
      </c>
      <c r="C290" s="2">
        <v>1.6762630000000001</v>
      </c>
      <c r="D290" s="2">
        <v>2.281463</v>
      </c>
      <c r="E290" s="2">
        <v>3.00658</v>
      </c>
      <c r="F290" s="2">
        <v>6.9696879999999997</v>
      </c>
      <c r="G290" s="2">
        <v>0.58264199999999999</v>
      </c>
      <c r="H290" s="2">
        <v>0.115603</v>
      </c>
      <c r="I290" s="2">
        <v>4.45E-3</v>
      </c>
      <c r="J290" s="2">
        <v>5.293E-3</v>
      </c>
      <c r="K290" s="2">
        <v>6.4000000000000005E-4</v>
      </c>
      <c r="L290" s="2">
        <v>0.25972600000000001</v>
      </c>
      <c r="M290" s="2">
        <v>0.38571299999999997</v>
      </c>
      <c r="N290" s="2">
        <v>7.9488649999999996</v>
      </c>
    </row>
    <row r="291" spans="1:14" x14ac:dyDescent="0.35">
      <c r="A291" s="2" t="s">
        <v>298</v>
      </c>
      <c r="B291" s="3">
        <f t="shared" si="4"/>
        <v>35156</v>
      </c>
      <c r="C291" s="2">
        <v>1.51701</v>
      </c>
      <c r="D291" s="2">
        <v>1.8973789999999999</v>
      </c>
      <c r="E291" s="2">
        <v>2.8488449999999998</v>
      </c>
      <c r="F291" s="2">
        <v>6.2666149999999998</v>
      </c>
      <c r="G291" s="2">
        <v>0.52856599999999998</v>
      </c>
      <c r="H291" s="2">
        <v>0.10864699999999999</v>
      </c>
      <c r="I291" s="2">
        <v>4.8399999999999997E-3</v>
      </c>
      <c r="J291" s="2">
        <v>5.8650000000000004E-3</v>
      </c>
      <c r="K291" s="2">
        <v>8.34E-4</v>
      </c>
      <c r="L291" s="2">
        <v>0.20578099999999999</v>
      </c>
      <c r="M291" s="2">
        <v>0.32596700000000001</v>
      </c>
      <c r="N291" s="2">
        <v>7.1317209999999998</v>
      </c>
    </row>
    <row r="292" spans="1:14" x14ac:dyDescent="0.35">
      <c r="A292" s="2" t="s">
        <v>299</v>
      </c>
      <c r="B292" s="3">
        <f t="shared" si="4"/>
        <v>35186</v>
      </c>
      <c r="C292" s="2">
        <v>1.6247609999999999</v>
      </c>
      <c r="D292" s="2">
        <v>1.6800759999999999</v>
      </c>
      <c r="E292" s="2">
        <v>2.9662579999999998</v>
      </c>
      <c r="F292" s="2">
        <v>6.272672</v>
      </c>
      <c r="G292" s="2">
        <v>0.58435499999999996</v>
      </c>
      <c r="H292" s="2">
        <v>0.113485</v>
      </c>
      <c r="I292" s="2">
        <v>3.7009999999999999E-3</v>
      </c>
      <c r="J292" s="2">
        <v>6.4869999999999997E-3</v>
      </c>
      <c r="K292" s="2">
        <v>1.3359999999999999E-3</v>
      </c>
      <c r="L292" s="2">
        <v>0.23208200000000001</v>
      </c>
      <c r="M292" s="2">
        <v>0.35709200000000002</v>
      </c>
      <c r="N292" s="2">
        <v>7.2244020000000004</v>
      </c>
    </row>
    <row r="293" spans="1:14" x14ac:dyDescent="0.35">
      <c r="A293" s="2" t="s">
        <v>300</v>
      </c>
      <c r="B293" s="3">
        <f t="shared" si="4"/>
        <v>35217</v>
      </c>
      <c r="C293" s="2">
        <v>1.754707</v>
      </c>
      <c r="D293" s="2">
        <v>1.566541</v>
      </c>
      <c r="E293" s="2">
        <v>2.8997139999999999</v>
      </c>
      <c r="F293" s="2">
        <v>6.2212160000000001</v>
      </c>
      <c r="G293" s="2">
        <v>0.60389899999999996</v>
      </c>
      <c r="H293" s="2">
        <v>0.108928</v>
      </c>
      <c r="I293" s="2">
        <v>4.8630000000000001E-3</v>
      </c>
      <c r="J293" s="2">
        <v>6.5620000000000001E-3</v>
      </c>
      <c r="K293" s="2">
        <v>1.2819999999999999E-3</v>
      </c>
      <c r="L293" s="2">
        <v>0.25472299999999998</v>
      </c>
      <c r="M293" s="2">
        <v>0.376357</v>
      </c>
      <c r="N293" s="2">
        <v>7.2142359999999996</v>
      </c>
    </row>
    <row r="294" spans="1:14" x14ac:dyDescent="0.35">
      <c r="A294" s="2" t="s">
        <v>301</v>
      </c>
      <c r="B294" s="3">
        <f t="shared" si="4"/>
        <v>35247</v>
      </c>
      <c r="C294" s="2">
        <v>1.9036770000000001</v>
      </c>
      <c r="D294" s="2">
        <v>1.569717</v>
      </c>
      <c r="E294" s="2">
        <v>3.0173109999999999</v>
      </c>
      <c r="F294" s="2">
        <v>6.4921920000000002</v>
      </c>
      <c r="G294" s="2">
        <v>0.64019400000000004</v>
      </c>
      <c r="H294" s="2">
        <v>9.8518999999999995E-2</v>
      </c>
      <c r="I294" s="2">
        <v>6.4720000000000003E-3</v>
      </c>
      <c r="J294" s="2">
        <v>6.8040000000000002E-3</v>
      </c>
      <c r="K294" s="2">
        <v>1.8259999999999999E-3</v>
      </c>
      <c r="L294" s="2">
        <v>0.28156300000000001</v>
      </c>
      <c r="M294" s="2">
        <v>0.39518399999999998</v>
      </c>
      <c r="N294" s="2">
        <v>7.5430060000000001</v>
      </c>
    </row>
    <row r="295" spans="1:14" x14ac:dyDescent="0.35">
      <c r="A295" s="2" t="s">
        <v>302</v>
      </c>
      <c r="B295" s="3">
        <f t="shared" si="4"/>
        <v>35278</v>
      </c>
      <c r="C295" s="2">
        <v>1.9236200000000001</v>
      </c>
      <c r="D295" s="2">
        <v>1.6025609999999999</v>
      </c>
      <c r="E295" s="2">
        <v>3.0880649999999998</v>
      </c>
      <c r="F295" s="2">
        <v>6.6115269999999997</v>
      </c>
      <c r="G295" s="2">
        <v>0.64568800000000004</v>
      </c>
      <c r="H295" s="2">
        <v>8.9620000000000005E-2</v>
      </c>
      <c r="I295" s="2">
        <v>6.6509999999999998E-3</v>
      </c>
      <c r="J295" s="2">
        <v>6.6020000000000002E-3</v>
      </c>
      <c r="K295" s="2">
        <v>1.4159999999999999E-3</v>
      </c>
      <c r="L295" s="2">
        <v>0.29466100000000001</v>
      </c>
      <c r="M295" s="2">
        <v>0.39895000000000003</v>
      </c>
      <c r="N295" s="2">
        <v>7.6734580000000001</v>
      </c>
    </row>
    <row r="296" spans="1:14" x14ac:dyDescent="0.35">
      <c r="A296" s="2" t="s">
        <v>303</v>
      </c>
      <c r="B296" s="3">
        <f t="shared" si="4"/>
        <v>35309</v>
      </c>
      <c r="C296" s="2">
        <v>1.719606</v>
      </c>
      <c r="D296" s="2">
        <v>1.5056769999999999</v>
      </c>
      <c r="E296" s="2">
        <v>2.8217430000000001</v>
      </c>
      <c r="F296" s="2">
        <v>6.0486589999999998</v>
      </c>
      <c r="G296" s="2">
        <v>0.57338900000000004</v>
      </c>
      <c r="H296" s="2">
        <v>7.5536000000000006E-2</v>
      </c>
      <c r="I296" s="2">
        <v>5.8830000000000002E-3</v>
      </c>
      <c r="J296" s="2">
        <v>5.9560000000000004E-3</v>
      </c>
      <c r="K296" s="2">
        <v>1.199E-3</v>
      </c>
      <c r="L296" s="2">
        <v>0.25864799999999999</v>
      </c>
      <c r="M296" s="2">
        <v>0.347223</v>
      </c>
      <c r="N296" s="2">
        <v>6.9818910000000001</v>
      </c>
    </row>
    <row r="297" spans="1:14" x14ac:dyDescent="0.35">
      <c r="A297" s="2" t="s">
        <v>304</v>
      </c>
      <c r="B297" s="3">
        <f t="shared" si="4"/>
        <v>35339</v>
      </c>
      <c r="C297" s="2">
        <v>1.722898</v>
      </c>
      <c r="D297" s="2">
        <v>1.617748</v>
      </c>
      <c r="E297" s="2">
        <v>3.165775</v>
      </c>
      <c r="F297" s="2">
        <v>6.5077579999999999</v>
      </c>
      <c r="G297" s="2">
        <v>0.531582</v>
      </c>
      <c r="H297" s="2">
        <v>7.7093999999999996E-2</v>
      </c>
      <c r="I297" s="2">
        <v>6.2430000000000003E-3</v>
      </c>
      <c r="J297" s="2">
        <v>5.4939999999999998E-3</v>
      </c>
      <c r="K297" s="2">
        <v>8.6300000000000005E-4</v>
      </c>
      <c r="L297" s="2">
        <v>0.30893500000000002</v>
      </c>
      <c r="M297" s="2">
        <v>0.39862900000000001</v>
      </c>
      <c r="N297" s="2">
        <v>7.4487800000000002</v>
      </c>
    </row>
    <row r="298" spans="1:14" x14ac:dyDescent="0.35">
      <c r="A298" s="2" t="s">
        <v>305</v>
      </c>
      <c r="B298" s="3">
        <f t="shared" si="4"/>
        <v>35370</v>
      </c>
      <c r="C298" s="2">
        <v>1.770365</v>
      </c>
      <c r="D298" s="2">
        <v>1.969258</v>
      </c>
      <c r="E298" s="2">
        <v>2.9344480000000002</v>
      </c>
      <c r="F298" s="2">
        <v>6.6766540000000001</v>
      </c>
      <c r="G298" s="2">
        <v>0.54754000000000003</v>
      </c>
      <c r="H298" s="2">
        <v>8.0374000000000001E-2</v>
      </c>
      <c r="I298" s="2">
        <v>6.2750000000000002E-3</v>
      </c>
      <c r="J298" s="2">
        <v>4.4949999999999999E-3</v>
      </c>
      <c r="K298" s="2">
        <v>3.3700000000000001E-4</v>
      </c>
      <c r="L298" s="2">
        <v>0.29546800000000001</v>
      </c>
      <c r="M298" s="2">
        <v>0.38694899999999999</v>
      </c>
      <c r="N298" s="2">
        <v>7.6214389999999996</v>
      </c>
    </row>
    <row r="299" spans="1:14" x14ac:dyDescent="0.35">
      <c r="A299" s="2" t="s">
        <v>306</v>
      </c>
      <c r="B299" s="3">
        <f t="shared" si="4"/>
        <v>35400</v>
      </c>
      <c r="C299" s="2">
        <v>1.868379</v>
      </c>
      <c r="D299" s="2">
        <v>2.3319230000000002</v>
      </c>
      <c r="E299" s="2">
        <v>2.9992030000000001</v>
      </c>
      <c r="F299" s="2">
        <v>7.1986540000000003</v>
      </c>
      <c r="G299" s="2">
        <v>0.60033599999999998</v>
      </c>
      <c r="H299" s="2">
        <v>0.10340000000000001</v>
      </c>
      <c r="I299" s="2">
        <v>5.5449999999999996E-3</v>
      </c>
      <c r="J299" s="2">
        <v>4.2620000000000002E-3</v>
      </c>
      <c r="K299" s="2">
        <v>4.17E-4</v>
      </c>
      <c r="L299" s="2">
        <v>0.26399600000000001</v>
      </c>
      <c r="M299" s="2">
        <v>0.37762099999999998</v>
      </c>
      <c r="N299" s="2">
        <v>8.1852440000000009</v>
      </c>
    </row>
    <row r="300" spans="1:14" x14ac:dyDescent="0.35">
      <c r="A300" s="2" t="s">
        <v>307</v>
      </c>
      <c r="B300" s="3">
        <f t="shared" si="4"/>
        <v>35431</v>
      </c>
      <c r="C300" s="2">
        <v>1.9310050000000001</v>
      </c>
      <c r="D300" s="2">
        <v>2.5954359999999999</v>
      </c>
      <c r="E300" s="2">
        <v>3.0376249999999998</v>
      </c>
      <c r="F300" s="2">
        <v>7.5677469999999998</v>
      </c>
      <c r="G300" s="2">
        <v>0.61824800000000002</v>
      </c>
      <c r="H300" s="2">
        <v>0.112458</v>
      </c>
      <c r="I300" s="2">
        <v>5.1919999999999996E-3</v>
      </c>
      <c r="J300" s="2">
        <v>3.4220000000000001E-3</v>
      </c>
      <c r="K300" s="2">
        <v>4.1100000000000002E-4</v>
      </c>
      <c r="L300" s="2">
        <v>0.27496799999999999</v>
      </c>
      <c r="M300" s="2">
        <v>0.396451</v>
      </c>
      <c r="N300" s="2">
        <v>8.5910259999999994</v>
      </c>
    </row>
    <row r="301" spans="1:14" x14ac:dyDescent="0.35">
      <c r="A301" s="2" t="s">
        <v>308</v>
      </c>
      <c r="B301" s="3">
        <f t="shared" si="4"/>
        <v>35462</v>
      </c>
      <c r="C301" s="2">
        <v>1.642436</v>
      </c>
      <c r="D301" s="2">
        <v>2.3231139999999999</v>
      </c>
      <c r="E301" s="2">
        <v>2.7165140000000001</v>
      </c>
      <c r="F301" s="2">
        <v>6.6850370000000003</v>
      </c>
      <c r="G301" s="2">
        <v>0.53160099999999999</v>
      </c>
      <c r="H301" s="2">
        <v>0.107528</v>
      </c>
      <c r="I301" s="2">
        <v>4.0959999999999998E-3</v>
      </c>
      <c r="J301" s="2">
        <v>3.7620000000000002E-3</v>
      </c>
      <c r="K301" s="2">
        <v>3.7199999999999999E-4</v>
      </c>
      <c r="L301" s="2">
        <v>0.22667399999999999</v>
      </c>
      <c r="M301" s="2">
        <v>0.34243200000000001</v>
      </c>
      <c r="N301" s="2">
        <v>7.5660239999999996</v>
      </c>
    </row>
    <row r="302" spans="1:14" x14ac:dyDescent="0.35">
      <c r="A302" s="2" t="s">
        <v>309</v>
      </c>
      <c r="B302" s="3">
        <f t="shared" si="4"/>
        <v>35490</v>
      </c>
      <c r="C302" s="2">
        <v>1.6744509999999999</v>
      </c>
      <c r="D302" s="2">
        <v>2.2028910000000002</v>
      </c>
      <c r="E302" s="2">
        <v>2.938412</v>
      </c>
      <c r="F302" s="2">
        <v>6.8188420000000001</v>
      </c>
      <c r="G302" s="2">
        <v>0.52904499999999999</v>
      </c>
      <c r="H302" s="2">
        <v>0.119397</v>
      </c>
      <c r="I302" s="2">
        <v>5.4070000000000003E-3</v>
      </c>
      <c r="J302" s="2">
        <v>5.176E-3</v>
      </c>
      <c r="K302" s="2">
        <v>5.0699999999999996E-4</v>
      </c>
      <c r="L302" s="2">
        <v>0.25086199999999997</v>
      </c>
      <c r="M302" s="2">
        <v>0.38134899999999999</v>
      </c>
      <c r="N302" s="2">
        <v>7.7377789999999997</v>
      </c>
    </row>
    <row r="303" spans="1:14" x14ac:dyDescent="0.35">
      <c r="A303" s="2" t="s">
        <v>310</v>
      </c>
      <c r="B303" s="3">
        <f t="shared" si="4"/>
        <v>35521</v>
      </c>
      <c r="C303" s="2">
        <v>1.5950089999999999</v>
      </c>
      <c r="D303" s="2">
        <v>1.881259</v>
      </c>
      <c r="E303" s="2">
        <v>2.9584920000000001</v>
      </c>
      <c r="F303" s="2">
        <v>6.4383439999999998</v>
      </c>
      <c r="G303" s="2">
        <v>0.471001</v>
      </c>
      <c r="H303" s="2">
        <v>0.109441</v>
      </c>
      <c r="I303" s="2">
        <v>5.7889999999999999E-3</v>
      </c>
      <c r="J303" s="2">
        <v>5.7479999999999996E-3</v>
      </c>
      <c r="K303" s="2">
        <v>1.106E-3</v>
      </c>
      <c r="L303" s="2">
        <v>0.25187799999999999</v>
      </c>
      <c r="M303" s="2">
        <v>0.37396099999999999</v>
      </c>
      <c r="N303" s="2">
        <v>7.2933859999999999</v>
      </c>
    </row>
    <row r="304" spans="1:14" x14ac:dyDescent="0.35">
      <c r="A304" s="2" t="s">
        <v>311</v>
      </c>
      <c r="B304" s="3">
        <f t="shared" si="4"/>
        <v>35551</v>
      </c>
      <c r="C304" s="2">
        <v>1.6294470000000001</v>
      </c>
      <c r="D304" s="2">
        <v>1.683297</v>
      </c>
      <c r="E304" s="2">
        <v>3.0196619999999998</v>
      </c>
      <c r="F304" s="2">
        <v>6.3348190000000004</v>
      </c>
      <c r="G304" s="2">
        <v>0.49355199999999999</v>
      </c>
      <c r="H304" s="2">
        <v>0.116635</v>
      </c>
      <c r="I304" s="2">
        <v>5.7099999999999998E-3</v>
      </c>
      <c r="J304" s="2">
        <v>6.2919999999999998E-3</v>
      </c>
      <c r="K304" s="2">
        <v>1.196E-3</v>
      </c>
      <c r="L304" s="2">
        <v>0.266486</v>
      </c>
      <c r="M304" s="2">
        <v>0.39631899999999998</v>
      </c>
      <c r="N304" s="2">
        <v>7.2325429999999997</v>
      </c>
    </row>
    <row r="305" spans="1:14" x14ac:dyDescent="0.35">
      <c r="A305" s="2" t="s">
        <v>312</v>
      </c>
      <c r="B305" s="3">
        <f t="shared" si="4"/>
        <v>35582</v>
      </c>
      <c r="C305" s="2">
        <v>1.744437</v>
      </c>
      <c r="D305" s="2">
        <v>1.5699080000000001</v>
      </c>
      <c r="E305" s="2">
        <v>2.9835400000000001</v>
      </c>
      <c r="F305" s="2">
        <v>6.3019639999999999</v>
      </c>
      <c r="G305" s="2">
        <v>0.54668300000000003</v>
      </c>
      <c r="H305" s="2">
        <v>0.117564</v>
      </c>
      <c r="I305" s="2">
        <v>4.8739999999999999E-3</v>
      </c>
      <c r="J305" s="2">
        <v>6.4330000000000003E-3</v>
      </c>
      <c r="K305" s="2">
        <v>1.7639999999999999E-3</v>
      </c>
      <c r="L305" s="2">
        <v>0.230961</v>
      </c>
      <c r="M305" s="2">
        <v>0.36159599999999997</v>
      </c>
      <c r="N305" s="2">
        <v>7.2204790000000001</v>
      </c>
    </row>
    <row r="306" spans="1:14" x14ac:dyDescent="0.35">
      <c r="A306" s="2" t="s">
        <v>313</v>
      </c>
      <c r="B306" s="3">
        <f t="shared" si="4"/>
        <v>35612</v>
      </c>
      <c r="C306" s="2">
        <v>1.9885139999999999</v>
      </c>
      <c r="D306" s="2">
        <v>1.7064429999999999</v>
      </c>
      <c r="E306" s="2">
        <v>3.1637909999999998</v>
      </c>
      <c r="F306" s="2">
        <v>6.8642479999999999</v>
      </c>
      <c r="G306" s="2">
        <v>0.60185299999999997</v>
      </c>
      <c r="H306" s="2">
        <v>0.108011</v>
      </c>
      <c r="I306" s="2">
        <v>6.0850000000000001E-3</v>
      </c>
      <c r="J306" s="2">
        <v>6.7210000000000004E-3</v>
      </c>
      <c r="K306" s="2">
        <v>1.738E-3</v>
      </c>
      <c r="L306" s="2">
        <v>0.25982899999999998</v>
      </c>
      <c r="M306" s="2">
        <v>0.382384</v>
      </c>
      <c r="N306" s="2">
        <v>7.8622750000000003</v>
      </c>
    </row>
    <row r="307" spans="1:14" x14ac:dyDescent="0.35">
      <c r="A307" s="2" t="s">
        <v>314</v>
      </c>
      <c r="B307" s="3">
        <f t="shared" si="4"/>
        <v>35643</v>
      </c>
      <c r="C307" s="2">
        <v>1.941613</v>
      </c>
      <c r="D307" s="2">
        <v>1.6717869999999999</v>
      </c>
      <c r="E307" s="2">
        <v>3.066138</v>
      </c>
      <c r="F307" s="2">
        <v>6.6881719999999998</v>
      </c>
      <c r="G307" s="2">
        <v>0.64101200000000003</v>
      </c>
      <c r="H307" s="2">
        <v>9.1801999999999995E-2</v>
      </c>
      <c r="I307" s="2">
        <v>6.0280000000000004E-3</v>
      </c>
      <c r="J307" s="2">
        <v>6.6119999999999998E-3</v>
      </c>
      <c r="K307" s="2">
        <v>1.8090000000000001E-3</v>
      </c>
      <c r="L307" s="2">
        <v>0.26450200000000001</v>
      </c>
      <c r="M307" s="2">
        <v>0.370753</v>
      </c>
      <c r="N307" s="2">
        <v>7.7135410000000002</v>
      </c>
    </row>
    <row r="308" spans="1:14" x14ac:dyDescent="0.35">
      <c r="A308" s="2" t="s">
        <v>315</v>
      </c>
      <c r="B308" s="3">
        <f t="shared" si="4"/>
        <v>35674</v>
      </c>
      <c r="C308" s="2">
        <v>1.8061640000000001</v>
      </c>
      <c r="D308" s="2">
        <v>1.571904</v>
      </c>
      <c r="E308" s="2">
        <v>2.9611269999999998</v>
      </c>
      <c r="F308" s="2">
        <v>6.3385030000000002</v>
      </c>
      <c r="G308" s="2">
        <v>0.55183899999999997</v>
      </c>
      <c r="H308" s="2">
        <v>7.9836000000000004E-2</v>
      </c>
      <c r="I308" s="2">
        <v>5.7710000000000001E-3</v>
      </c>
      <c r="J308" s="2">
        <v>5.9579999999999998E-3</v>
      </c>
      <c r="K308" s="2">
        <v>8.8800000000000001E-4</v>
      </c>
      <c r="L308" s="2">
        <v>0.249998</v>
      </c>
      <c r="M308" s="2">
        <v>0.34245199999999998</v>
      </c>
      <c r="N308" s="2">
        <v>7.2428119999999998</v>
      </c>
    </row>
    <row r="309" spans="1:14" x14ac:dyDescent="0.35">
      <c r="A309" s="2" t="s">
        <v>316</v>
      </c>
      <c r="B309" s="3">
        <f t="shared" si="4"/>
        <v>35704</v>
      </c>
      <c r="C309" s="2">
        <v>1.812595</v>
      </c>
      <c r="D309" s="2">
        <v>1.631616</v>
      </c>
      <c r="E309" s="2">
        <v>3.144571</v>
      </c>
      <c r="F309" s="2">
        <v>6.594252</v>
      </c>
      <c r="G309" s="2">
        <v>0.49302099999999999</v>
      </c>
      <c r="H309" s="2">
        <v>8.4393999999999997E-2</v>
      </c>
      <c r="I309" s="2">
        <v>5.7650000000000002E-3</v>
      </c>
      <c r="J309" s="2">
        <v>5.437E-3</v>
      </c>
      <c r="K309" s="2">
        <v>9.3700000000000001E-4</v>
      </c>
      <c r="L309" s="2">
        <v>0.30669299999999999</v>
      </c>
      <c r="M309" s="2">
        <v>0.403225</v>
      </c>
      <c r="N309" s="2">
        <v>7.4980979999999997</v>
      </c>
    </row>
    <row r="310" spans="1:14" x14ac:dyDescent="0.35">
      <c r="A310" s="2" t="s">
        <v>317</v>
      </c>
      <c r="B310" s="3">
        <f t="shared" si="4"/>
        <v>35735</v>
      </c>
      <c r="C310" s="2">
        <v>1.7592719999999999</v>
      </c>
      <c r="D310" s="2">
        <v>1.9709570000000001</v>
      </c>
      <c r="E310" s="2">
        <v>2.9446500000000002</v>
      </c>
      <c r="F310" s="2">
        <v>6.6769179999999997</v>
      </c>
      <c r="G310" s="2">
        <v>0.53717599999999999</v>
      </c>
      <c r="H310" s="2">
        <v>8.09E-2</v>
      </c>
      <c r="I310" s="2">
        <v>5.7039999999999999E-3</v>
      </c>
      <c r="J310" s="2">
        <v>4.424E-3</v>
      </c>
      <c r="K310" s="2">
        <v>2.4800000000000001E-4</v>
      </c>
      <c r="L310" s="2">
        <v>0.26483400000000001</v>
      </c>
      <c r="M310" s="2">
        <v>0.35611100000000001</v>
      </c>
      <c r="N310" s="2">
        <v>7.5792130000000002</v>
      </c>
    </row>
    <row r="311" spans="1:14" x14ac:dyDescent="0.35">
      <c r="A311" s="2" t="s">
        <v>318</v>
      </c>
      <c r="B311" s="3">
        <f t="shared" si="4"/>
        <v>35765</v>
      </c>
      <c r="C311" s="2">
        <v>1.9204680000000001</v>
      </c>
      <c r="D311" s="2">
        <v>2.4141059999999999</v>
      </c>
      <c r="E311" s="2">
        <v>3.1318800000000002</v>
      </c>
      <c r="F311" s="2">
        <v>7.4721250000000001</v>
      </c>
      <c r="G311" s="2">
        <v>0.58196099999999995</v>
      </c>
      <c r="H311" s="2">
        <v>8.8251999999999997E-2</v>
      </c>
      <c r="I311" s="2">
        <v>6.1250000000000002E-3</v>
      </c>
      <c r="J311" s="2">
        <v>4.1869999999999997E-3</v>
      </c>
      <c r="K311" s="2">
        <v>2.4399999999999999E-4</v>
      </c>
      <c r="L311" s="2">
        <v>0.25753599999999999</v>
      </c>
      <c r="M311" s="2">
        <v>0.35634399999999999</v>
      </c>
      <c r="N311" s="2">
        <v>8.4203650000000003</v>
      </c>
    </row>
    <row r="312" spans="1:14" x14ac:dyDescent="0.35">
      <c r="A312" s="2" t="s">
        <v>319</v>
      </c>
      <c r="B312" s="3">
        <f t="shared" si="4"/>
        <v>35796</v>
      </c>
      <c r="C312" s="2">
        <v>1.891535</v>
      </c>
      <c r="D312" s="2">
        <v>2.5082740000000001</v>
      </c>
      <c r="E312" s="2">
        <v>2.995854</v>
      </c>
      <c r="F312" s="2">
        <v>7.403689</v>
      </c>
      <c r="G312" s="2">
        <v>0.60731199999999996</v>
      </c>
      <c r="H312" s="2">
        <v>9.8327999999999999E-2</v>
      </c>
      <c r="I312" s="2">
        <v>6.2960000000000004E-3</v>
      </c>
      <c r="J312" s="2">
        <v>3.375E-3</v>
      </c>
      <c r="K312" s="2">
        <v>5.8999999999999998E-5</v>
      </c>
      <c r="L312" s="2">
        <v>0.277781</v>
      </c>
      <c r="M312" s="2">
        <v>0.38583899999999999</v>
      </c>
      <c r="N312" s="2">
        <v>8.4021790000000003</v>
      </c>
    </row>
    <row r="313" spans="1:14" x14ac:dyDescent="0.35">
      <c r="A313" s="2" t="s">
        <v>320</v>
      </c>
      <c r="B313" s="3">
        <f t="shared" si="4"/>
        <v>35827</v>
      </c>
      <c r="C313" s="2">
        <v>1.660188</v>
      </c>
      <c r="D313" s="2">
        <v>2.1979259999999998</v>
      </c>
      <c r="E313" s="2">
        <v>2.708612</v>
      </c>
      <c r="F313" s="2">
        <v>6.5698740000000004</v>
      </c>
      <c r="G313" s="2">
        <v>0.53502799999999995</v>
      </c>
      <c r="H313" s="2">
        <v>0.10234699999999999</v>
      </c>
      <c r="I313" s="2">
        <v>5.1650000000000003E-3</v>
      </c>
      <c r="J313" s="2">
        <v>3.6289999999999998E-3</v>
      </c>
      <c r="K313" s="2">
        <v>2.8E-5</v>
      </c>
      <c r="L313" s="2">
        <v>0.21282300000000001</v>
      </c>
      <c r="M313" s="2">
        <v>0.323992</v>
      </c>
      <c r="N313" s="2">
        <v>7.4337619999999998</v>
      </c>
    </row>
    <row r="314" spans="1:14" x14ac:dyDescent="0.35">
      <c r="A314" s="2" t="s">
        <v>321</v>
      </c>
      <c r="B314" s="3">
        <f t="shared" si="4"/>
        <v>35855</v>
      </c>
      <c r="C314" s="2">
        <v>1.7223839999999999</v>
      </c>
      <c r="D314" s="2">
        <v>2.2326139999999999</v>
      </c>
      <c r="E314" s="2">
        <v>3.0542940000000001</v>
      </c>
      <c r="F314" s="2">
        <v>7.0122270000000002</v>
      </c>
      <c r="G314" s="2">
        <v>0.56348299999999996</v>
      </c>
      <c r="H314" s="2">
        <v>0.10811900000000001</v>
      </c>
      <c r="I314" s="2">
        <v>6.2509999999999996E-3</v>
      </c>
      <c r="J314" s="2">
        <v>5.1380000000000002E-3</v>
      </c>
      <c r="K314" s="2">
        <v>2.0999999999999999E-5</v>
      </c>
      <c r="L314" s="2">
        <v>0.242115</v>
      </c>
      <c r="M314" s="2">
        <v>0.36164299999999999</v>
      </c>
      <c r="N314" s="2">
        <v>7.9437829999999998</v>
      </c>
    </row>
    <row r="315" spans="1:14" x14ac:dyDescent="0.35">
      <c r="A315" s="2" t="s">
        <v>322</v>
      </c>
      <c r="B315" s="3">
        <f t="shared" si="4"/>
        <v>35886</v>
      </c>
      <c r="C315" s="2">
        <v>1.6023449999999999</v>
      </c>
      <c r="D315" s="2">
        <v>1.8038860000000001</v>
      </c>
      <c r="E315" s="2">
        <v>3.0440459999999998</v>
      </c>
      <c r="F315" s="2">
        <v>6.4543049999999997</v>
      </c>
      <c r="G315" s="2">
        <v>0.49835400000000002</v>
      </c>
      <c r="H315" s="2">
        <v>9.7610000000000002E-2</v>
      </c>
      <c r="I315" s="2">
        <v>4.5830000000000003E-3</v>
      </c>
      <c r="J315" s="2">
        <v>5.6639999999999998E-3</v>
      </c>
      <c r="K315" s="2">
        <v>2.9300000000000002E-4</v>
      </c>
      <c r="L315" s="2">
        <v>0.23921400000000001</v>
      </c>
      <c r="M315" s="2">
        <v>0.34736600000000001</v>
      </c>
      <c r="N315" s="2">
        <v>7.3087790000000004</v>
      </c>
    </row>
    <row r="316" spans="1:14" x14ac:dyDescent="0.35">
      <c r="A316" s="2" t="s">
        <v>323</v>
      </c>
      <c r="B316" s="3">
        <f t="shared" si="4"/>
        <v>35916</v>
      </c>
      <c r="C316" s="2">
        <v>1.7376529999999999</v>
      </c>
      <c r="D316" s="2">
        <v>1.634215</v>
      </c>
      <c r="E316" s="2">
        <v>3.0447320000000002</v>
      </c>
      <c r="F316" s="2">
        <v>6.4212629999999997</v>
      </c>
      <c r="G316" s="2">
        <v>0.54024799999999995</v>
      </c>
      <c r="H316" s="2">
        <v>0.113264</v>
      </c>
      <c r="I316" s="2">
        <v>4.3210000000000002E-3</v>
      </c>
      <c r="J316" s="2">
        <v>6.1729999999999997E-3</v>
      </c>
      <c r="K316" s="2">
        <v>4.8899999999999996E-4</v>
      </c>
      <c r="L316" s="2">
        <v>0.24946599999999999</v>
      </c>
      <c r="M316" s="2">
        <v>0.37371300000000002</v>
      </c>
      <c r="N316" s="2">
        <v>7.3423930000000004</v>
      </c>
    </row>
    <row r="317" spans="1:14" x14ac:dyDescent="0.35">
      <c r="A317" s="2" t="s">
        <v>324</v>
      </c>
      <c r="B317" s="3">
        <f t="shared" si="4"/>
        <v>35947</v>
      </c>
      <c r="C317" s="2">
        <v>1.8657060000000001</v>
      </c>
      <c r="D317" s="2">
        <v>1.630555</v>
      </c>
      <c r="E317" s="2">
        <v>3.0804049999999998</v>
      </c>
      <c r="F317" s="2">
        <v>6.5852079999999997</v>
      </c>
      <c r="G317" s="2">
        <v>0.58468299999999995</v>
      </c>
      <c r="H317" s="2">
        <v>0.110348</v>
      </c>
      <c r="I317" s="2">
        <v>4.9069999999999999E-3</v>
      </c>
      <c r="J317" s="2">
        <v>6.3270000000000002E-3</v>
      </c>
      <c r="K317" s="2">
        <v>1.348E-3</v>
      </c>
      <c r="L317" s="2">
        <v>0.18519099999999999</v>
      </c>
      <c r="M317" s="2">
        <v>0.30812</v>
      </c>
      <c r="N317" s="2">
        <v>7.4852790000000002</v>
      </c>
    </row>
    <row r="318" spans="1:14" x14ac:dyDescent="0.35">
      <c r="A318" s="2" t="s">
        <v>325</v>
      </c>
      <c r="B318" s="3">
        <f t="shared" si="4"/>
        <v>35977</v>
      </c>
      <c r="C318" s="2">
        <v>2.0423770000000001</v>
      </c>
      <c r="D318" s="2">
        <v>1.768645</v>
      </c>
      <c r="E318" s="2">
        <v>3.235903</v>
      </c>
      <c r="F318" s="2">
        <v>7.0536820000000002</v>
      </c>
      <c r="G318" s="2">
        <v>0.64518699999999995</v>
      </c>
      <c r="H318" s="2">
        <v>9.7784999999999997E-2</v>
      </c>
      <c r="I318" s="2">
        <v>5.8789999999999997E-3</v>
      </c>
      <c r="J318" s="2">
        <v>6.679E-3</v>
      </c>
      <c r="K318" s="2">
        <v>1.8680000000000001E-3</v>
      </c>
      <c r="L318" s="2">
        <v>0.246062</v>
      </c>
      <c r="M318" s="2">
        <v>0.35827300000000001</v>
      </c>
      <c r="N318" s="2">
        <v>8.0689759999999993</v>
      </c>
    </row>
    <row r="319" spans="1:14" x14ac:dyDescent="0.35">
      <c r="A319" s="2" t="s">
        <v>326</v>
      </c>
      <c r="B319" s="3">
        <f t="shared" si="4"/>
        <v>36008</v>
      </c>
      <c r="C319" s="2">
        <v>2.0395810000000001</v>
      </c>
      <c r="D319" s="2">
        <v>1.7822469999999999</v>
      </c>
      <c r="E319" s="2">
        <v>3.208853</v>
      </c>
      <c r="F319" s="2">
        <v>7.0403880000000001</v>
      </c>
      <c r="G319" s="2">
        <v>0.63333099999999998</v>
      </c>
      <c r="H319" s="2">
        <v>8.5678000000000004E-2</v>
      </c>
      <c r="I319" s="2">
        <v>6.2119999999999996E-3</v>
      </c>
      <c r="J319" s="2">
        <v>6.5839999999999996E-3</v>
      </c>
      <c r="K319" s="2">
        <v>1.438E-3</v>
      </c>
      <c r="L319" s="2">
        <v>0.254189</v>
      </c>
      <c r="M319" s="2">
        <v>0.35410199999999997</v>
      </c>
      <c r="N319" s="2">
        <v>8.0425430000000002</v>
      </c>
    </row>
    <row r="320" spans="1:14" x14ac:dyDescent="0.35">
      <c r="A320" s="2" t="s">
        <v>327</v>
      </c>
      <c r="B320" s="3">
        <f t="shared" si="4"/>
        <v>36039</v>
      </c>
      <c r="C320" s="2">
        <v>1.841326</v>
      </c>
      <c r="D320" s="2">
        <v>1.6368339999999999</v>
      </c>
      <c r="E320" s="2">
        <v>3.034732</v>
      </c>
      <c r="F320" s="2">
        <v>6.5192449999999997</v>
      </c>
      <c r="G320" s="2">
        <v>0.60014699999999999</v>
      </c>
      <c r="H320" s="2">
        <v>7.1059999999999998E-2</v>
      </c>
      <c r="I320" s="2">
        <v>6.0790000000000002E-3</v>
      </c>
      <c r="J320" s="2">
        <v>5.9560000000000004E-3</v>
      </c>
      <c r="K320" s="2">
        <v>1.6230000000000001E-3</v>
      </c>
      <c r="L320" s="2">
        <v>0.247917</v>
      </c>
      <c r="M320" s="2">
        <v>0.33263500000000001</v>
      </c>
      <c r="N320" s="2">
        <v>7.4609529999999999</v>
      </c>
    </row>
    <row r="321" spans="1:14" x14ac:dyDescent="0.35">
      <c r="A321" s="2" t="s">
        <v>328</v>
      </c>
      <c r="B321" s="3">
        <f t="shared" si="4"/>
        <v>36069</v>
      </c>
      <c r="C321" s="2">
        <v>1.7516799999999999</v>
      </c>
      <c r="D321" s="2">
        <v>1.592778</v>
      </c>
      <c r="E321" s="2">
        <v>3.1626020000000001</v>
      </c>
      <c r="F321" s="2">
        <v>6.5145280000000003</v>
      </c>
      <c r="G321" s="2">
        <v>0.60249200000000003</v>
      </c>
      <c r="H321" s="2">
        <v>6.4434000000000005E-2</v>
      </c>
      <c r="I321" s="2">
        <v>6.6080000000000002E-3</v>
      </c>
      <c r="J321" s="2">
        <v>5.3949999999999996E-3</v>
      </c>
      <c r="K321" s="2">
        <v>1.0189999999999999E-3</v>
      </c>
      <c r="L321" s="2">
        <v>0.26875100000000002</v>
      </c>
      <c r="M321" s="2">
        <v>0.34620800000000002</v>
      </c>
      <c r="N321" s="2">
        <v>7.4682560000000002</v>
      </c>
    </row>
    <row r="322" spans="1:14" x14ac:dyDescent="0.35">
      <c r="A322" s="2" t="s">
        <v>329</v>
      </c>
      <c r="B322" s="3">
        <f t="shared" si="4"/>
        <v>36100</v>
      </c>
      <c r="C322" s="2">
        <v>1.6662980000000001</v>
      </c>
      <c r="D322" s="2">
        <v>1.8075079999999999</v>
      </c>
      <c r="E322" s="2">
        <v>2.9677099999999998</v>
      </c>
      <c r="F322" s="2">
        <v>6.4451650000000003</v>
      </c>
      <c r="G322" s="2">
        <v>0.60189400000000004</v>
      </c>
      <c r="H322" s="2">
        <v>6.8309999999999996E-2</v>
      </c>
      <c r="I322" s="2">
        <v>6.0039999999999998E-3</v>
      </c>
      <c r="J322" s="2">
        <v>4.3889999999999997E-3</v>
      </c>
      <c r="K322" s="2">
        <v>6.1799999999999995E-4</v>
      </c>
      <c r="L322" s="2">
        <v>0.230044</v>
      </c>
      <c r="M322" s="2">
        <v>0.30936599999999997</v>
      </c>
      <c r="N322" s="2">
        <v>7.3596009999999996</v>
      </c>
    </row>
    <row r="323" spans="1:14" x14ac:dyDescent="0.35">
      <c r="A323" s="2" t="s">
        <v>330</v>
      </c>
      <c r="B323" s="3">
        <f t="shared" si="4"/>
        <v>36130</v>
      </c>
      <c r="C323" s="2">
        <v>1.83467</v>
      </c>
      <c r="D323" s="2">
        <v>2.234747</v>
      </c>
      <c r="E323" s="2">
        <v>3.183179</v>
      </c>
      <c r="F323" s="2">
        <v>7.2544170000000001</v>
      </c>
      <c r="G323" s="2">
        <v>0.65565200000000001</v>
      </c>
      <c r="H323" s="2">
        <v>8.5936999999999999E-2</v>
      </c>
      <c r="I323" s="2">
        <v>5.9020000000000001E-3</v>
      </c>
      <c r="J323" s="2">
        <v>4.1469999999999996E-3</v>
      </c>
      <c r="K323" s="2">
        <v>1.519E-3</v>
      </c>
      <c r="L323" s="2">
        <v>0.27393800000000001</v>
      </c>
      <c r="M323" s="2">
        <v>0.37144300000000002</v>
      </c>
      <c r="N323" s="2">
        <v>8.2862189999999991</v>
      </c>
    </row>
    <row r="324" spans="1:14" x14ac:dyDescent="0.35">
      <c r="A324" s="2" t="s">
        <v>331</v>
      </c>
      <c r="B324" s="3">
        <f t="shared" si="4"/>
        <v>36161</v>
      </c>
      <c r="C324" s="2">
        <v>1.8994040000000001</v>
      </c>
      <c r="D324" s="2">
        <v>2.6117010000000001</v>
      </c>
      <c r="E324" s="2">
        <v>3.110744</v>
      </c>
      <c r="F324" s="2">
        <v>7.6271630000000004</v>
      </c>
      <c r="G324" s="2">
        <v>0.68645500000000004</v>
      </c>
      <c r="H324" s="2">
        <v>0.10072399999999999</v>
      </c>
      <c r="I324" s="2">
        <v>6.1539999999999997E-3</v>
      </c>
      <c r="J324" s="2">
        <v>3.2940000000000001E-3</v>
      </c>
      <c r="K324" s="2">
        <v>1.15E-3</v>
      </c>
      <c r="L324" s="2">
        <v>0.27168799999999999</v>
      </c>
      <c r="M324" s="2">
        <v>0.38301000000000002</v>
      </c>
      <c r="N324" s="2">
        <v>8.6992989999999999</v>
      </c>
    </row>
    <row r="325" spans="1:14" x14ac:dyDescent="0.35">
      <c r="A325" s="2" t="s">
        <v>332</v>
      </c>
      <c r="B325" s="3">
        <f t="shared" si="4"/>
        <v>36192</v>
      </c>
      <c r="C325" s="2">
        <v>1.64394</v>
      </c>
      <c r="D325" s="2">
        <v>2.1921849999999998</v>
      </c>
      <c r="E325" s="2">
        <v>2.8337870000000001</v>
      </c>
      <c r="F325" s="2">
        <v>6.6721810000000001</v>
      </c>
      <c r="G325" s="2">
        <v>0.60076300000000005</v>
      </c>
      <c r="H325" s="2">
        <v>9.7902000000000003E-2</v>
      </c>
      <c r="I325" s="2">
        <v>5.1180000000000002E-3</v>
      </c>
      <c r="J325" s="2">
        <v>3.5699999999999998E-3</v>
      </c>
      <c r="K325" s="2">
        <v>1.054E-3</v>
      </c>
      <c r="L325" s="2">
        <v>0.22043499999999999</v>
      </c>
      <c r="M325" s="2">
        <v>0.32807900000000001</v>
      </c>
      <c r="N325" s="2">
        <v>7.603491</v>
      </c>
    </row>
    <row r="326" spans="1:14" x14ac:dyDescent="0.35">
      <c r="A326" s="2" t="s">
        <v>333</v>
      </c>
      <c r="B326" s="3">
        <f t="shared" si="4"/>
        <v>36220</v>
      </c>
      <c r="C326" s="2">
        <v>1.7205410000000001</v>
      </c>
      <c r="D326" s="2">
        <v>2.25963</v>
      </c>
      <c r="E326" s="2">
        <v>3.2014900000000002</v>
      </c>
      <c r="F326" s="2">
        <v>7.1886210000000004</v>
      </c>
      <c r="G326" s="2">
        <v>0.61485800000000002</v>
      </c>
      <c r="H326" s="2">
        <v>0.109456</v>
      </c>
      <c r="I326" s="2">
        <v>5.921E-3</v>
      </c>
      <c r="J326" s="2">
        <v>4.9839999999999997E-3</v>
      </c>
      <c r="K326" s="2">
        <v>1.524E-3</v>
      </c>
      <c r="L326" s="2">
        <v>0.21134900000000001</v>
      </c>
      <c r="M326" s="2">
        <v>0.33323399999999997</v>
      </c>
      <c r="N326" s="2">
        <v>8.1390019999999996</v>
      </c>
    </row>
    <row r="327" spans="1:14" x14ac:dyDescent="0.35">
      <c r="A327" s="2" t="s">
        <v>334</v>
      </c>
      <c r="B327" s="3">
        <f t="shared" si="4"/>
        <v>36251</v>
      </c>
      <c r="C327" s="2">
        <v>1.6370549999999999</v>
      </c>
      <c r="D327" s="2">
        <v>1.897575</v>
      </c>
      <c r="E327" s="2">
        <v>3.046751</v>
      </c>
      <c r="F327" s="2">
        <v>6.5907460000000002</v>
      </c>
      <c r="G327" s="2">
        <v>0.50712900000000005</v>
      </c>
      <c r="H327" s="2">
        <v>9.3280000000000002E-2</v>
      </c>
      <c r="I327" s="2">
        <v>5.1879999999999999E-3</v>
      </c>
      <c r="J327" s="2">
        <v>5.5360000000000001E-3</v>
      </c>
      <c r="K327" s="2">
        <v>1.274E-3</v>
      </c>
      <c r="L327" s="2">
        <v>0.24753700000000001</v>
      </c>
      <c r="M327" s="2">
        <v>0.35281499999999999</v>
      </c>
      <c r="N327" s="2">
        <v>7.4591820000000002</v>
      </c>
    </row>
    <row r="328" spans="1:14" x14ac:dyDescent="0.35">
      <c r="A328" s="2" t="s">
        <v>335</v>
      </c>
      <c r="B328" s="3">
        <f t="shared" si="4"/>
        <v>36281</v>
      </c>
      <c r="C328" s="2">
        <v>1.7113309999999999</v>
      </c>
      <c r="D328" s="2">
        <v>1.6192820000000001</v>
      </c>
      <c r="E328" s="2">
        <v>3.0854699999999999</v>
      </c>
      <c r="F328" s="2">
        <v>6.4188749999999999</v>
      </c>
      <c r="G328" s="2">
        <v>0.58579300000000001</v>
      </c>
      <c r="H328" s="2">
        <v>9.8935999999999996E-2</v>
      </c>
      <c r="I328" s="2">
        <v>6.1089999999999998E-3</v>
      </c>
      <c r="J328" s="2">
        <v>6.1209999999999997E-3</v>
      </c>
      <c r="K328" s="2">
        <v>9.3999999999999997E-4</v>
      </c>
      <c r="L328" s="2">
        <v>0.28795300000000001</v>
      </c>
      <c r="M328" s="2">
        <v>0.400059</v>
      </c>
      <c r="N328" s="2">
        <v>7.4133990000000001</v>
      </c>
    </row>
    <row r="329" spans="1:14" x14ac:dyDescent="0.35">
      <c r="A329" s="2" t="s">
        <v>336</v>
      </c>
      <c r="B329" s="3">
        <f t="shared" si="4"/>
        <v>36312</v>
      </c>
      <c r="C329" s="2">
        <v>1.8387089999999999</v>
      </c>
      <c r="D329" s="2">
        <v>1.565126</v>
      </c>
      <c r="E329" s="2">
        <v>3.1656249999999999</v>
      </c>
      <c r="F329" s="2">
        <v>6.5713049999999997</v>
      </c>
      <c r="G329" s="2">
        <v>0.65103800000000001</v>
      </c>
      <c r="H329" s="2">
        <v>0.104294</v>
      </c>
      <c r="I329" s="2">
        <v>5.7239999999999999E-3</v>
      </c>
      <c r="J329" s="2">
        <v>6.1840000000000003E-3</v>
      </c>
      <c r="K329" s="2">
        <v>8.6600000000000002E-4</v>
      </c>
      <c r="L329" s="2">
        <v>0.23738999999999999</v>
      </c>
      <c r="M329" s="2">
        <v>0.35445900000000002</v>
      </c>
      <c r="N329" s="2">
        <v>7.5853140000000003</v>
      </c>
    </row>
    <row r="330" spans="1:14" x14ac:dyDescent="0.35">
      <c r="A330" s="2" t="s">
        <v>337</v>
      </c>
      <c r="B330" s="3">
        <f t="shared" si="4"/>
        <v>36342</v>
      </c>
      <c r="C330" s="2">
        <v>2.0793089999999999</v>
      </c>
      <c r="D330" s="2">
        <v>1.7239549999999999</v>
      </c>
      <c r="E330" s="2">
        <v>3.2610079999999999</v>
      </c>
      <c r="F330" s="2">
        <v>7.0673830000000004</v>
      </c>
      <c r="G330" s="2">
        <v>0.69821200000000005</v>
      </c>
      <c r="H330" s="2">
        <v>0.101288</v>
      </c>
      <c r="I330" s="2">
        <v>5.8139999999999997E-3</v>
      </c>
      <c r="J330" s="2">
        <v>6.4819999999999999E-3</v>
      </c>
      <c r="K330" s="2">
        <v>1.5560000000000001E-3</v>
      </c>
      <c r="L330" s="2">
        <v>0.26424700000000001</v>
      </c>
      <c r="M330" s="2">
        <v>0.379388</v>
      </c>
      <c r="N330" s="2">
        <v>8.1540199999999992</v>
      </c>
    </row>
    <row r="331" spans="1:14" x14ac:dyDescent="0.35">
      <c r="A331" s="2" t="s">
        <v>338</v>
      </c>
      <c r="B331" s="3">
        <f t="shared" si="4"/>
        <v>36373</v>
      </c>
      <c r="C331" s="2">
        <v>2.0164840000000002</v>
      </c>
      <c r="D331" s="2">
        <v>1.762724</v>
      </c>
      <c r="E331" s="2">
        <v>3.3230840000000001</v>
      </c>
      <c r="F331" s="2">
        <v>7.1082809999999998</v>
      </c>
      <c r="G331" s="2">
        <v>0.71209100000000003</v>
      </c>
      <c r="H331" s="2">
        <v>8.7777999999999995E-2</v>
      </c>
      <c r="I331" s="2">
        <v>5.9020000000000001E-3</v>
      </c>
      <c r="J331" s="2">
        <v>6.3769999999999999E-3</v>
      </c>
      <c r="K331" s="2">
        <v>1.304E-3</v>
      </c>
      <c r="L331" s="2">
        <v>0.25836799999999999</v>
      </c>
      <c r="M331" s="2">
        <v>0.35972999999999999</v>
      </c>
      <c r="N331" s="2">
        <v>8.1900410000000008</v>
      </c>
    </row>
    <row r="332" spans="1:14" x14ac:dyDescent="0.35">
      <c r="A332" s="2" t="s">
        <v>339</v>
      </c>
      <c r="B332" s="3">
        <f t="shared" si="4"/>
        <v>36404</v>
      </c>
      <c r="C332" s="2">
        <v>1.8138479999999999</v>
      </c>
      <c r="D332" s="2">
        <v>1.5645009999999999</v>
      </c>
      <c r="E332" s="2">
        <v>3.099364</v>
      </c>
      <c r="F332" s="2">
        <v>6.4794049999999999</v>
      </c>
      <c r="G332" s="2">
        <v>0.63677099999999998</v>
      </c>
      <c r="H332" s="2">
        <v>7.1282999999999999E-2</v>
      </c>
      <c r="I332" s="2">
        <v>5.8700000000000002E-3</v>
      </c>
      <c r="J332" s="2">
        <v>5.7749999999999998E-3</v>
      </c>
      <c r="K332" s="2">
        <v>1.2880000000000001E-3</v>
      </c>
      <c r="L332" s="2">
        <v>0.24323500000000001</v>
      </c>
      <c r="M332" s="2">
        <v>0.32745099999999999</v>
      </c>
      <c r="N332" s="2">
        <v>7.4572789999999998</v>
      </c>
    </row>
    <row r="333" spans="1:14" x14ac:dyDescent="0.35">
      <c r="A333" s="2" t="s">
        <v>340</v>
      </c>
      <c r="B333" s="3">
        <f t="shared" ref="B333:B396" si="5">DATEVALUE(MID(A333, 6, 20) &amp; " 1, " &amp; LEFT(A333, 4))</f>
        <v>36434</v>
      </c>
      <c r="C333" s="2">
        <v>1.743987</v>
      </c>
      <c r="D333" s="2">
        <v>1.6652130000000001</v>
      </c>
      <c r="E333" s="2">
        <v>3.253606</v>
      </c>
      <c r="F333" s="2">
        <v>6.6666270000000001</v>
      </c>
      <c r="G333" s="2">
        <v>0.57833500000000004</v>
      </c>
      <c r="H333" s="2">
        <v>6.7907999999999996E-2</v>
      </c>
      <c r="I333" s="2">
        <v>6.0809999999999996E-3</v>
      </c>
      <c r="J333" s="2">
        <v>5.3109999999999997E-3</v>
      </c>
      <c r="K333" s="2">
        <v>1.428E-3</v>
      </c>
      <c r="L333" s="2">
        <v>0.22878999999999999</v>
      </c>
      <c r="M333" s="2">
        <v>0.30952000000000002</v>
      </c>
      <c r="N333" s="2">
        <v>7.5657490000000003</v>
      </c>
    </row>
    <row r="334" spans="1:14" x14ac:dyDescent="0.35">
      <c r="A334" s="2" t="s">
        <v>341</v>
      </c>
      <c r="B334" s="3">
        <f t="shared" si="5"/>
        <v>36465</v>
      </c>
      <c r="C334" s="2">
        <v>1.6890540000000001</v>
      </c>
      <c r="D334" s="2">
        <v>1.771239</v>
      </c>
      <c r="E334" s="2">
        <v>3.025099</v>
      </c>
      <c r="F334" s="2">
        <v>6.4940680000000004</v>
      </c>
      <c r="G334" s="2">
        <v>0.632772</v>
      </c>
      <c r="H334" s="2">
        <v>7.2209999999999996E-2</v>
      </c>
      <c r="I334" s="2">
        <v>5.7999999999999996E-3</v>
      </c>
      <c r="J334" s="2">
        <v>4.3070000000000001E-3</v>
      </c>
      <c r="K334" s="2">
        <v>1.209E-3</v>
      </c>
      <c r="L334" s="2">
        <v>0.25567499999999999</v>
      </c>
      <c r="M334" s="2">
        <v>0.3392</v>
      </c>
      <c r="N334" s="2">
        <v>7.4780870000000004</v>
      </c>
    </row>
    <row r="335" spans="1:14" x14ac:dyDescent="0.35">
      <c r="A335" s="2" t="s">
        <v>342</v>
      </c>
      <c r="B335" s="3">
        <f t="shared" si="5"/>
        <v>36495</v>
      </c>
      <c r="C335" s="2">
        <v>1.828883</v>
      </c>
      <c r="D335" s="2">
        <v>2.2761</v>
      </c>
      <c r="E335" s="2">
        <v>3.3275389999999998</v>
      </c>
      <c r="F335" s="2">
        <v>7.4383800000000004</v>
      </c>
      <c r="G335" s="2">
        <v>0.70603700000000003</v>
      </c>
      <c r="H335" s="2">
        <v>8.5197999999999996E-2</v>
      </c>
      <c r="I335" s="2">
        <v>6.2069999999999998E-3</v>
      </c>
      <c r="J335" s="2">
        <v>4.0679999999999996E-3</v>
      </c>
      <c r="K335" s="2">
        <v>1.72E-3</v>
      </c>
      <c r="L335" s="2">
        <v>0.236623</v>
      </c>
      <c r="M335" s="2">
        <v>0.333816</v>
      </c>
      <c r="N335" s="2">
        <v>8.488111</v>
      </c>
    </row>
    <row r="336" spans="1:14" x14ac:dyDescent="0.35">
      <c r="A336" s="2" t="s">
        <v>343</v>
      </c>
      <c r="B336" s="3">
        <f t="shared" si="5"/>
        <v>36526</v>
      </c>
      <c r="C336" s="2">
        <v>2.021217</v>
      </c>
      <c r="D336" s="2">
        <v>2.5865070000000001</v>
      </c>
      <c r="E336" s="2">
        <v>3.0802830000000001</v>
      </c>
      <c r="F336" s="2">
        <v>7.692062</v>
      </c>
      <c r="G336" s="2">
        <v>0.737981</v>
      </c>
      <c r="H336" s="2">
        <v>8.6468000000000003E-2</v>
      </c>
      <c r="I336" s="2">
        <v>6.0860000000000003E-3</v>
      </c>
      <c r="J336" s="2">
        <v>3.1549999999999998E-3</v>
      </c>
      <c r="K336" s="2">
        <v>2.202E-3</v>
      </c>
      <c r="L336" s="2">
        <v>0.222442</v>
      </c>
      <c r="M336" s="2">
        <v>0.320353</v>
      </c>
      <c r="N336" s="2">
        <v>8.7603279999999994</v>
      </c>
    </row>
    <row r="337" spans="1:14" x14ac:dyDescent="0.35">
      <c r="A337" s="2" t="s">
        <v>344</v>
      </c>
      <c r="B337" s="3">
        <f t="shared" si="5"/>
        <v>36557</v>
      </c>
      <c r="C337" s="2">
        <v>1.8334779999999999</v>
      </c>
      <c r="D337" s="2">
        <v>2.390781</v>
      </c>
      <c r="E337" s="2">
        <v>2.990777</v>
      </c>
      <c r="F337" s="2">
        <v>7.2224250000000003</v>
      </c>
      <c r="G337" s="2">
        <v>0.66931799999999997</v>
      </c>
      <c r="H337" s="2">
        <v>7.6714000000000004E-2</v>
      </c>
      <c r="I337" s="2">
        <v>5.6369999999999996E-3</v>
      </c>
      <c r="J337" s="2">
        <v>3.4399999999999999E-3</v>
      </c>
      <c r="K337" s="2">
        <v>2.4090000000000001E-3</v>
      </c>
      <c r="L337" s="2">
        <v>0.24520500000000001</v>
      </c>
      <c r="M337" s="2">
        <v>0.33340399999999998</v>
      </c>
      <c r="N337" s="2">
        <v>8.2366109999999999</v>
      </c>
    </row>
    <row r="338" spans="1:14" x14ac:dyDescent="0.35">
      <c r="A338" s="2" t="s">
        <v>345</v>
      </c>
      <c r="B338" s="3">
        <f t="shared" si="5"/>
        <v>36586</v>
      </c>
      <c r="C338" s="2">
        <v>1.7991090000000001</v>
      </c>
      <c r="D338" s="2">
        <v>2.1296750000000002</v>
      </c>
      <c r="E338" s="2">
        <v>3.1369009999999999</v>
      </c>
      <c r="F338" s="2">
        <v>7.0714649999999999</v>
      </c>
      <c r="G338" s="2">
        <v>0.65427900000000005</v>
      </c>
      <c r="H338" s="2">
        <v>9.1109999999999997E-2</v>
      </c>
      <c r="I338" s="2">
        <v>5.7930000000000004E-3</v>
      </c>
      <c r="J338" s="2">
        <v>4.7330000000000002E-3</v>
      </c>
      <c r="K338" s="2">
        <v>1.194E-3</v>
      </c>
      <c r="L338" s="2">
        <v>0.263681</v>
      </c>
      <c r="M338" s="2">
        <v>0.366512</v>
      </c>
      <c r="N338" s="2">
        <v>8.1013319999999993</v>
      </c>
    </row>
    <row r="339" spans="1:14" x14ac:dyDescent="0.35">
      <c r="A339" s="2" t="s">
        <v>346</v>
      </c>
      <c r="B339" s="3">
        <f t="shared" si="5"/>
        <v>36617</v>
      </c>
      <c r="C339" s="2">
        <v>1.629003</v>
      </c>
      <c r="D339" s="2">
        <v>1.866071</v>
      </c>
      <c r="E339" s="2">
        <v>2.9852180000000001</v>
      </c>
      <c r="F339" s="2">
        <v>6.486421</v>
      </c>
      <c r="G339" s="2">
        <v>0.60758500000000004</v>
      </c>
      <c r="H339" s="2">
        <v>9.7207000000000002E-2</v>
      </c>
      <c r="I339" s="2">
        <v>5.9290000000000002E-3</v>
      </c>
      <c r="J339" s="2">
        <v>5.2389999999999997E-3</v>
      </c>
      <c r="K339" s="2">
        <v>1.126E-3</v>
      </c>
      <c r="L339" s="2">
        <v>0.25323499999999999</v>
      </c>
      <c r="M339" s="2">
        <v>0.36273699999999998</v>
      </c>
      <c r="N339" s="2">
        <v>7.4652880000000001</v>
      </c>
    </row>
    <row r="340" spans="1:14" x14ac:dyDescent="0.35">
      <c r="A340" s="2" t="s">
        <v>347</v>
      </c>
      <c r="B340" s="3">
        <f t="shared" si="5"/>
        <v>36647</v>
      </c>
      <c r="C340" s="2">
        <v>1.776114</v>
      </c>
      <c r="D340" s="2">
        <v>1.7729349999999999</v>
      </c>
      <c r="E340" s="2">
        <v>3.2328709999999998</v>
      </c>
      <c r="F340" s="2">
        <v>6.7896609999999997</v>
      </c>
      <c r="G340" s="2">
        <v>0.66720500000000005</v>
      </c>
      <c r="H340" s="2">
        <v>9.3560000000000004E-2</v>
      </c>
      <c r="I340" s="2">
        <v>5.8050000000000003E-3</v>
      </c>
      <c r="J340" s="2">
        <v>5.8320000000000004E-3</v>
      </c>
      <c r="K340" s="2">
        <v>1.392E-3</v>
      </c>
      <c r="L340" s="2">
        <v>0.25478200000000001</v>
      </c>
      <c r="M340" s="2">
        <v>0.361371</v>
      </c>
      <c r="N340" s="2">
        <v>7.8283129999999996</v>
      </c>
    </row>
    <row r="341" spans="1:14" x14ac:dyDescent="0.35">
      <c r="A341" s="2" t="s">
        <v>348</v>
      </c>
      <c r="B341" s="3">
        <f t="shared" si="5"/>
        <v>36678</v>
      </c>
      <c r="C341" s="2">
        <v>1.9281980000000001</v>
      </c>
      <c r="D341" s="2">
        <v>1.6503239999999999</v>
      </c>
      <c r="E341" s="2">
        <v>3.2004169999999998</v>
      </c>
      <c r="F341" s="2">
        <v>6.7831970000000004</v>
      </c>
      <c r="G341" s="2">
        <v>0.70185699999999995</v>
      </c>
      <c r="H341" s="2">
        <v>8.5930999999999993E-2</v>
      </c>
      <c r="I341" s="2">
        <v>5.6600000000000001E-3</v>
      </c>
      <c r="J341" s="2">
        <v>5.8950000000000001E-3</v>
      </c>
      <c r="K341" s="2">
        <v>1.5250000000000001E-3</v>
      </c>
      <c r="L341" s="2">
        <v>0.22634599999999999</v>
      </c>
      <c r="M341" s="2">
        <v>0.32535700000000001</v>
      </c>
      <c r="N341" s="2">
        <v>7.8204330000000004</v>
      </c>
    </row>
    <row r="342" spans="1:14" x14ac:dyDescent="0.35">
      <c r="A342" s="2" t="s">
        <v>349</v>
      </c>
      <c r="B342" s="3">
        <f t="shared" si="5"/>
        <v>36708</v>
      </c>
      <c r="C342" s="2">
        <v>2.0082260000000001</v>
      </c>
      <c r="D342" s="2">
        <v>1.705206</v>
      </c>
      <c r="E342" s="2">
        <v>3.2515860000000001</v>
      </c>
      <c r="F342" s="2">
        <v>6.9705180000000002</v>
      </c>
      <c r="G342" s="2">
        <v>0.719306</v>
      </c>
      <c r="H342" s="2">
        <v>8.2333000000000003E-2</v>
      </c>
      <c r="I342" s="2">
        <v>5.8380000000000003E-3</v>
      </c>
      <c r="J342" s="2">
        <v>6.2610000000000001E-3</v>
      </c>
      <c r="K342" s="2">
        <v>1.2960000000000001E-3</v>
      </c>
      <c r="L342" s="2">
        <v>0.25468200000000002</v>
      </c>
      <c r="M342" s="2">
        <v>0.35041099999999997</v>
      </c>
      <c r="N342" s="2">
        <v>8.0552139999999994</v>
      </c>
    </row>
    <row r="343" spans="1:14" x14ac:dyDescent="0.35">
      <c r="A343" s="2" t="s">
        <v>350</v>
      </c>
      <c r="B343" s="3">
        <f t="shared" si="5"/>
        <v>36739</v>
      </c>
      <c r="C343" s="2">
        <v>2.078449</v>
      </c>
      <c r="D343" s="2">
        <v>1.8508830000000001</v>
      </c>
      <c r="E343" s="2">
        <v>3.3833280000000001</v>
      </c>
      <c r="F343" s="2">
        <v>7.3205720000000003</v>
      </c>
      <c r="G343" s="2">
        <v>0.701102</v>
      </c>
      <c r="H343" s="2">
        <v>7.4998999999999996E-2</v>
      </c>
      <c r="I343" s="2">
        <v>5.8450000000000004E-3</v>
      </c>
      <c r="J343" s="2">
        <v>6.1440000000000002E-3</v>
      </c>
      <c r="K343" s="2">
        <v>1.284E-3</v>
      </c>
      <c r="L343" s="2">
        <v>0.25668299999999999</v>
      </c>
      <c r="M343" s="2">
        <v>0.34495500000000001</v>
      </c>
      <c r="N343" s="2">
        <v>8.3820840000000008</v>
      </c>
    </row>
    <row r="344" spans="1:14" x14ac:dyDescent="0.35">
      <c r="A344" s="2" t="s">
        <v>351</v>
      </c>
      <c r="B344" s="3">
        <f t="shared" si="5"/>
        <v>36770</v>
      </c>
      <c r="C344" s="2">
        <v>1.8547210000000001</v>
      </c>
      <c r="D344" s="2">
        <v>1.5956440000000001</v>
      </c>
      <c r="E344" s="2">
        <v>3.1725400000000001</v>
      </c>
      <c r="F344" s="2">
        <v>6.629874</v>
      </c>
      <c r="G344" s="2">
        <v>0.60766200000000004</v>
      </c>
      <c r="H344" s="2">
        <v>6.0735999999999998E-2</v>
      </c>
      <c r="I344" s="2">
        <v>5.1279999999999997E-3</v>
      </c>
      <c r="J344" s="2">
        <v>5.6080000000000001E-3</v>
      </c>
      <c r="K344" s="2">
        <v>1.134E-3</v>
      </c>
      <c r="L344" s="2">
        <v>0.240508</v>
      </c>
      <c r="M344" s="2">
        <v>0.31311299999999997</v>
      </c>
      <c r="N344" s="2">
        <v>7.5618860000000003</v>
      </c>
    </row>
    <row r="345" spans="1:14" x14ac:dyDescent="0.35">
      <c r="A345" s="2" t="s">
        <v>352</v>
      </c>
      <c r="B345" s="3">
        <f t="shared" si="5"/>
        <v>36800</v>
      </c>
      <c r="C345" s="2">
        <v>1.839302</v>
      </c>
      <c r="D345" s="2">
        <v>1.642844</v>
      </c>
      <c r="E345" s="2">
        <v>3.2505459999999999</v>
      </c>
      <c r="F345" s="2">
        <v>6.7383540000000002</v>
      </c>
      <c r="G345" s="2">
        <v>0.547207</v>
      </c>
      <c r="H345" s="2">
        <v>5.8638999999999997E-2</v>
      </c>
      <c r="I345" s="2">
        <v>5.4549999999999998E-3</v>
      </c>
      <c r="J345" s="2">
        <v>5.0559999999999997E-3</v>
      </c>
      <c r="K345" s="2">
        <v>1.4040000000000001E-3</v>
      </c>
      <c r="L345" s="2">
        <v>0.27169300000000002</v>
      </c>
      <c r="M345" s="2">
        <v>0.34224599999999999</v>
      </c>
      <c r="N345" s="2">
        <v>7.6333419999999998</v>
      </c>
    </row>
    <row r="346" spans="1:14" x14ac:dyDescent="0.35">
      <c r="A346" s="2" t="s">
        <v>353</v>
      </c>
      <c r="B346" s="3">
        <f t="shared" si="5"/>
        <v>36831</v>
      </c>
      <c r="C346" s="2">
        <v>1.826174</v>
      </c>
      <c r="D346" s="2">
        <v>1.968807</v>
      </c>
      <c r="E346" s="2">
        <v>3.0602399999999998</v>
      </c>
      <c r="F346" s="2">
        <v>6.8589120000000001</v>
      </c>
      <c r="G346" s="2">
        <v>0.58894000000000002</v>
      </c>
      <c r="H346" s="2">
        <v>6.5377000000000005E-2</v>
      </c>
      <c r="I346" s="2">
        <v>5.5999999999999999E-3</v>
      </c>
      <c r="J346" s="2">
        <v>4.1029999999999999E-3</v>
      </c>
      <c r="K346" s="2">
        <v>2.8080000000000002E-3</v>
      </c>
      <c r="L346" s="2">
        <v>0.26289899999999999</v>
      </c>
      <c r="M346" s="2">
        <v>0.34078700000000001</v>
      </c>
      <c r="N346" s="2">
        <v>7.7963420000000001</v>
      </c>
    </row>
    <row r="347" spans="1:14" x14ac:dyDescent="0.35">
      <c r="A347" s="2" t="s">
        <v>354</v>
      </c>
      <c r="B347" s="3">
        <f t="shared" si="5"/>
        <v>36861</v>
      </c>
      <c r="C347" s="2">
        <v>1.985538</v>
      </c>
      <c r="D347" s="2">
        <v>2.6643029999999999</v>
      </c>
      <c r="E347" s="2">
        <v>3.4081739999999998</v>
      </c>
      <c r="F347" s="2">
        <v>8.0582910000000005</v>
      </c>
      <c r="G347" s="2">
        <v>0.65991</v>
      </c>
      <c r="H347" s="2">
        <v>6.7181000000000005E-2</v>
      </c>
      <c r="I347" s="2">
        <v>5.9090000000000002E-3</v>
      </c>
      <c r="J347" s="2">
        <v>3.882E-3</v>
      </c>
      <c r="K347" s="2">
        <v>1.3090000000000001E-3</v>
      </c>
      <c r="L347" s="2">
        <v>0.25607099999999999</v>
      </c>
      <c r="M347" s="2">
        <v>0.33435199999999998</v>
      </c>
      <c r="N347" s="2">
        <v>9.0537270000000003</v>
      </c>
    </row>
    <row r="348" spans="1:14" x14ac:dyDescent="0.35">
      <c r="A348" s="2" t="s">
        <v>355</v>
      </c>
      <c r="B348" s="3">
        <f t="shared" si="5"/>
        <v>36892</v>
      </c>
      <c r="C348" s="2">
        <v>2.0029490000000001</v>
      </c>
      <c r="D348" s="2">
        <v>2.74295</v>
      </c>
      <c r="E348" s="2">
        <v>3.3092760000000001</v>
      </c>
      <c r="F348" s="2">
        <v>8.0580630000000006</v>
      </c>
      <c r="G348" s="2">
        <v>0.71750800000000003</v>
      </c>
      <c r="H348" s="2">
        <v>6.4323000000000005E-2</v>
      </c>
      <c r="I348" s="2">
        <v>6.1040000000000001E-3</v>
      </c>
      <c r="J348" s="2">
        <v>3.0079999999999998E-3</v>
      </c>
      <c r="K348" s="2">
        <v>1.328E-3</v>
      </c>
      <c r="L348" s="2">
        <v>0.23053399999999999</v>
      </c>
      <c r="M348" s="2">
        <v>0.30529699999999999</v>
      </c>
      <c r="N348" s="2">
        <v>9.0872320000000002</v>
      </c>
    </row>
    <row r="349" spans="1:14" x14ac:dyDescent="0.35">
      <c r="A349" s="2" t="s">
        <v>356</v>
      </c>
      <c r="B349" s="3">
        <f t="shared" si="5"/>
        <v>36923</v>
      </c>
      <c r="C349" s="2">
        <v>1.7316560000000001</v>
      </c>
      <c r="D349" s="2">
        <v>2.3665880000000001</v>
      </c>
      <c r="E349" s="2">
        <v>2.926383</v>
      </c>
      <c r="F349" s="2">
        <v>7.0265459999999997</v>
      </c>
      <c r="G349" s="2">
        <v>0.63986799999999999</v>
      </c>
      <c r="H349" s="2">
        <v>5.9617000000000003E-2</v>
      </c>
      <c r="I349" s="2">
        <v>5.3860000000000002E-3</v>
      </c>
      <c r="J349" s="2">
        <v>3.261E-3</v>
      </c>
      <c r="K349" s="2">
        <v>1.4710000000000001E-3</v>
      </c>
      <c r="L349" s="2">
        <v>0.203263</v>
      </c>
      <c r="M349" s="2">
        <v>0.27299899999999999</v>
      </c>
      <c r="N349" s="2">
        <v>7.9409960000000002</v>
      </c>
    </row>
    <row r="350" spans="1:14" x14ac:dyDescent="0.35">
      <c r="A350" s="2" t="s">
        <v>357</v>
      </c>
      <c r="B350" s="3">
        <f t="shared" si="5"/>
        <v>36951</v>
      </c>
      <c r="C350" s="2">
        <v>1.788025</v>
      </c>
      <c r="D350" s="2">
        <v>2.3013159999999999</v>
      </c>
      <c r="E350" s="2">
        <v>3.270197</v>
      </c>
      <c r="F350" s="2">
        <v>7.3622389999999998</v>
      </c>
      <c r="G350" s="2">
        <v>0.64893500000000004</v>
      </c>
      <c r="H350" s="2">
        <v>6.9868E-2</v>
      </c>
      <c r="I350" s="2">
        <v>5.9699999999999996E-3</v>
      </c>
      <c r="J350" s="2">
        <v>4.542E-3</v>
      </c>
      <c r="K350" s="2">
        <v>1.8159999999999999E-3</v>
      </c>
      <c r="L350" s="2">
        <v>0.22000600000000001</v>
      </c>
      <c r="M350" s="2">
        <v>0.30220200000000003</v>
      </c>
      <c r="N350" s="2">
        <v>8.319293</v>
      </c>
    </row>
    <row r="351" spans="1:14" x14ac:dyDescent="0.35">
      <c r="A351" s="2" t="s">
        <v>358</v>
      </c>
      <c r="B351" s="3">
        <f t="shared" si="5"/>
        <v>36982</v>
      </c>
      <c r="C351" s="2">
        <v>1.6200190000000001</v>
      </c>
      <c r="D351" s="2">
        <v>1.851132</v>
      </c>
      <c r="E351" s="2">
        <v>3.144434</v>
      </c>
      <c r="F351" s="2">
        <v>6.6205939999999996</v>
      </c>
      <c r="G351" s="2">
        <v>0.58484000000000003</v>
      </c>
      <c r="H351" s="2">
        <v>6.1460000000000001E-2</v>
      </c>
      <c r="I351" s="2">
        <v>5.5840000000000004E-3</v>
      </c>
      <c r="J351" s="2">
        <v>5.0200000000000002E-3</v>
      </c>
      <c r="K351" s="2">
        <v>2.336E-3</v>
      </c>
      <c r="L351" s="2">
        <v>0.21279999999999999</v>
      </c>
      <c r="M351" s="2">
        <v>0.28720000000000001</v>
      </c>
      <c r="N351" s="2">
        <v>7.5007460000000004</v>
      </c>
    </row>
    <row r="352" spans="1:14" x14ac:dyDescent="0.35">
      <c r="A352" s="2" t="s">
        <v>359</v>
      </c>
      <c r="B352" s="3">
        <f t="shared" si="5"/>
        <v>37012</v>
      </c>
      <c r="C352" s="2">
        <v>1.7488669999999999</v>
      </c>
      <c r="D352" s="2">
        <v>1.5586420000000001</v>
      </c>
      <c r="E352" s="2">
        <v>3.2310500000000002</v>
      </c>
      <c r="F352" s="2">
        <v>6.5420119999999997</v>
      </c>
      <c r="G352" s="2">
        <v>0.642374</v>
      </c>
      <c r="H352" s="2">
        <v>6.5426999999999999E-2</v>
      </c>
      <c r="I352" s="2">
        <v>5.5649999999999996E-3</v>
      </c>
      <c r="J352" s="2">
        <v>5.672E-3</v>
      </c>
      <c r="K352" s="2">
        <v>2.1670000000000001E-3</v>
      </c>
      <c r="L352" s="2">
        <v>0.21086099999999999</v>
      </c>
      <c r="M352" s="2">
        <v>0.28969200000000001</v>
      </c>
      <c r="N352" s="2">
        <v>7.48386</v>
      </c>
    </row>
    <row r="353" spans="1:14" x14ac:dyDescent="0.35">
      <c r="A353" s="2" t="s">
        <v>360</v>
      </c>
      <c r="B353" s="3">
        <f t="shared" si="5"/>
        <v>37043</v>
      </c>
      <c r="C353" s="2">
        <v>1.8608990000000001</v>
      </c>
      <c r="D353" s="2">
        <v>1.479031</v>
      </c>
      <c r="E353" s="2">
        <v>3.1403110000000001</v>
      </c>
      <c r="F353" s="2">
        <v>6.4826829999999998</v>
      </c>
      <c r="G353" s="2">
        <v>0.71036500000000002</v>
      </c>
      <c r="H353" s="2">
        <v>7.0722999999999994E-2</v>
      </c>
      <c r="I353" s="2">
        <v>5.5589999999999997E-3</v>
      </c>
      <c r="J353" s="2">
        <v>5.7549999999999997E-3</v>
      </c>
      <c r="K353" s="2">
        <v>2.2850000000000001E-3</v>
      </c>
      <c r="L353" s="2">
        <v>0.21059800000000001</v>
      </c>
      <c r="M353" s="2">
        <v>0.29492000000000002</v>
      </c>
      <c r="N353" s="2">
        <v>7.4962229999999996</v>
      </c>
    </row>
    <row r="354" spans="1:14" x14ac:dyDescent="0.35">
      <c r="A354" s="2" t="s">
        <v>361</v>
      </c>
      <c r="B354" s="3">
        <f t="shared" si="5"/>
        <v>37073</v>
      </c>
      <c r="C354" s="2">
        <v>2.0496650000000001</v>
      </c>
      <c r="D354" s="2">
        <v>1.6351150000000001</v>
      </c>
      <c r="E354" s="2">
        <v>3.290953</v>
      </c>
      <c r="F354" s="2">
        <v>6.9756200000000002</v>
      </c>
      <c r="G354" s="2">
        <v>0.72230099999999997</v>
      </c>
      <c r="H354" s="2">
        <v>6.1685999999999998E-2</v>
      </c>
      <c r="I354" s="2">
        <v>5.9300000000000004E-3</v>
      </c>
      <c r="J354" s="2">
        <v>6.0289999999999996E-3</v>
      </c>
      <c r="K354" s="2">
        <v>2.1670000000000001E-3</v>
      </c>
      <c r="L354" s="2">
        <v>0.224217</v>
      </c>
      <c r="M354" s="2">
        <v>0.30002899999999999</v>
      </c>
      <c r="N354" s="2">
        <v>8.00596</v>
      </c>
    </row>
    <row r="355" spans="1:14" x14ac:dyDescent="0.35">
      <c r="A355" s="2" t="s">
        <v>362</v>
      </c>
      <c r="B355" s="3">
        <f t="shared" si="5"/>
        <v>37104</v>
      </c>
      <c r="C355" s="2">
        <v>2.0899489999999998</v>
      </c>
      <c r="D355" s="2">
        <v>1.7092529999999999</v>
      </c>
      <c r="E355" s="2">
        <v>3.333078</v>
      </c>
      <c r="F355" s="2">
        <v>7.1346569999999998</v>
      </c>
      <c r="G355" s="2">
        <v>0.71419200000000005</v>
      </c>
      <c r="H355" s="2">
        <v>6.4533999999999994E-2</v>
      </c>
      <c r="I355" s="2">
        <v>5.8919999999999997E-3</v>
      </c>
      <c r="J355" s="2">
        <v>5.947E-3</v>
      </c>
      <c r="K355" s="2">
        <v>1.9689999999999998E-3</v>
      </c>
      <c r="L355" s="2">
        <v>0.223552</v>
      </c>
      <c r="M355" s="2">
        <v>0.30189500000000002</v>
      </c>
      <c r="N355" s="2">
        <v>8.1595890000000004</v>
      </c>
    </row>
    <row r="356" spans="1:14" x14ac:dyDescent="0.35">
      <c r="A356" s="2" t="s">
        <v>363</v>
      </c>
      <c r="B356" s="3">
        <f t="shared" si="5"/>
        <v>37135</v>
      </c>
      <c r="C356" s="2">
        <v>1.792281</v>
      </c>
      <c r="D356" s="2">
        <v>1.529042</v>
      </c>
      <c r="E356" s="2">
        <v>3.0190160000000001</v>
      </c>
      <c r="F356" s="2">
        <v>6.3407609999999996</v>
      </c>
      <c r="G356" s="2">
        <v>0.66186100000000003</v>
      </c>
      <c r="H356" s="2">
        <v>5.2054000000000003E-2</v>
      </c>
      <c r="I356" s="2">
        <v>5.7340000000000004E-3</v>
      </c>
      <c r="J356" s="2">
        <v>5.3800000000000002E-3</v>
      </c>
      <c r="K356" s="2">
        <v>1.673E-3</v>
      </c>
      <c r="L356" s="2">
        <v>0.21359300000000001</v>
      </c>
      <c r="M356" s="2">
        <v>0.27843299999999999</v>
      </c>
      <c r="N356" s="2">
        <v>7.2831520000000003</v>
      </c>
    </row>
    <row r="357" spans="1:14" x14ac:dyDescent="0.35">
      <c r="A357" s="2" t="s">
        <v>364</v>
      </c>
      <c r="B357" s="3">
        <f t="shared" si="5"/>
        <v>37165</v>
      </c>
      <c r="C357" s="2">
        <v>1.726261</v>
      </c>
      <c r="D357" s="2">
        <v>1.6879090000000001</v>
      </c>
      <c r="E357" s="2">
        <v>3.2521550000000001</v>
      </c>
      <c r="F357" s="2">
        <v>6.6704220000000003</v>
      </c>
      <c r="G357" s="2">
        <v>0.63139400000000001</v>
      </c>
      <c r="H357" s="2">
        <v>5.1979999999999998E-2</v>
      </c>
      <c r="I357" s="2">
        <v>5.8729999999999997E-3</v>
      </c>
      <c r="J357" s="2">
        <v>4.7730000000000003E-3</v>
      </c>
      <c r="K357" s="2">
        <v>2.0709999999999999E-3</v>
      </c>
      <c r="L357" s="2">
        <v>0.22967499999999999</v>
      </c>
      <c r="M357" s="2">
        <v>0.29437200000000002</v>
      </c>
      <c r="N357" s="2">
        <v>7.599526</v>
      </c>
    </row>
    <row r="358" spans="1:14" x14ac:dyDescent="0.35">
      <c r="A358" s="2" t="s">
        <v>365</v>
      </c>
      <c r="B358" s="3">
        <f t="shared" si="5"/>
        <v>37196</v>
      </c>
      <c r="C358" s="2">
        <v>1.6746289999999999</v>
      </c>
      <c r="D358" s="2">
        <v>1.7406109999999999</v>
      </c>
      <c r="E358" s="2">
        <v>3.070881</v>
      </c>
      <c r="F358" s="2">
        <v>6.4878650000000002</v>
      </c>
      <c r="G358" s="2">
        <v>0.651034</v>
      </c>
      <c r="H358" s="2">
        <v>5.2588999999999997E-2</v>
      </c>
      <c r="I358" s="2">
        <v>5.7959999999999999E-3</v>
      </c>
      <c r="J358" s="2">
        <v>3.9050000000000001E-3</v>
      </c>
      <c r="K358" s="2">
        <v>1.6050000000000001E-3</v>
      </c>
      <c r="L358" s="2">
        <v>0.21901799999999999</v>
      </c>
      <c r="M358" s="2">
        <v>0.282914</v>
      </c>
      <c r="N358" s="2">
        <v>7.4257350000000004</v>
      </c>
    </row>
    <row r="359" spans="1:14" x14ac:dyDescent="0.35">
      <c r="A359" s="2" t="s">
        <v>366</v>
      </c>
      <c r="B359" s="3">
        <f t="shared" si="5"/>
        <v>37226</v>
      </c>
      <c r="C359" s="2">
        <v>1.8290690000000001</v>
      </c>
      <c r="D359" s="2">
        <v>2.1709710000000002</v>
      </c>
      <c r="E359" s="2">
        <v>3.095939</v>
      </c>
      <c r="F359" s="2">
        <v>7.0983000000000001</v>
      </c>
      <c r="G359" s="2">
        <v>0.70418099999999995</v>
      </c>
      <c r="H359" s="2">
        <v>6.6009999999999999E-2</v>
      </c>
      <c r="I359" s="2">
        <v>5.9699999999999996E-3</v>
      </c>
      <c r="J359" s="2">
        <v>3.6749999999999999E-3</v>
      </c>
      <c r="K359" s="2">
        <v>2.101E-3</v>
      </c>
      <c r="L359" s="2">
        <v>0.22423899999999999</v>
      </c>
      <c r="M359" s="2">
        <v>0.30199399999999998</v>
      </c>
      <c r="N359" s="2">
        <v>8.1134009999999996</v>
      </c>
    </row>
    <row r="360" spans="1:14" x14ac:dyDescent="0.35">
      <c r="A360" s="2" t="s">
        <v>367</v>
      </c>
      <c r="B360" s="3">
        <f t="shared" si="5"/>
        <v>37257</v>
      </c>
      <c r="C360" s="2">
        <v>1.8487659999999999</v>
      </c>
      <c r="D360" s="2">
        <v>2.541086</v>
      </c>
      <c r="E360" s="2">
        <v>3.1791499999999999</v>
      </c>
      <c r="F360" s="2">
        <v>7.5686720000000003</v>
      </c>
      <c r="G360" s="2">
        <v>0.74060800000000004</v>
      </c>
      <c r="H360" s="2">
        <v>7.4364E-2</v>
      </c>
      <c r="I360" s="2">
        <v>6.4099999999999999E-3</v>
      </c>
      <c r="J360" s="2">
        <v>2.9229999999999998E-3</v>
      </c>
      <c r="K360" s="2">
        <v>2.7690000000000002E-3</v>
      </c>
      <c r="L360" s="2">
        <v>0.226851</v>
      </c>
      <c r="M360" s="2">
        <v>0.31331599999999998</v>
      </c>
      <c r="N360" s="2">
        <v>8.6310059999999993</v>
      </c>
    </row>
    <row r="361" spans="1:14" x14ac:dyDescent="0.35">
      <c r="A361" s="2" t="s">
        <v>368</v>
      </c>
      <c r="B361" s="3">
        <f t="shared" si="5"/>
        <v>37288</v>
      </c>
      <c r="C361" s="2">
        <v>1.634422</v>
      </c>
      <c r="D361" s="2">
        <v>2.2905440000000001</v>
      </c>
      <c r="E361" s="2">
        <v>2.8495919999999999</v>
      </c>
      <c r="F361" s="2">
        <v>6.7773979999999998</v>
      </c>
      <c r="G361" s="2">
        <v>0.64383599999999996</v>
      </c>
      <c r="H361" s="2">
        <v>6.8893999999999997E-2</v>
      </c>
      <c r="I361" s="2">
        <v>5.6849999999999999E-3</v>
      </c>
      <c r="J361" s="2">
        <v>3.189E-3</v>
      </c>
      <c r="K361" s="2">
        <v>2.4359999999999998E-3</v>
      </c>
      <c r="L361" s="2">
        <v>0.19936999999999999</v>
      </c>
      <c r="M361" s="2">
        <v>0.27957399999999999</v>
      </c>
      <c r="N361" s="2">
        <v>7.7073929999999997</v>
      </c>
    </row>
    <row r="362" spans="1:14" x14ac:dyDescent="0.35">
      <c r="A362" s="2" t="s">
        <v>369</v>
      </c>
      <c r="B362" s="3">
        <f t="shared" si="5"/>
        <v>37316</v>
      </c>
      <c r="C362" s="2">
        <v>1.713009</v>
      </c>
      <c r="D362" s="2">
        <v>2.3059799999999999</v>
      </c>
      <c r="E362" s="2">
        <v>3.2124280000000001</v>
      </c>
      <c r="F362" s="2">
        <v>7.2392899999999996</v>
      </c>
      <c r="G362" s="2">
        <v>0.65827000000000002</v>
      </c>
      <c r="H362" s="2">
        <v>7.1681999999999996E-2</v>
      </c>
      <c r="I362" s="2">
        <v>6.2639999999999996E-3</v>
      </c>
      <c r="J362" s="2">
        <v>4.4349999999999997E-3</v>
      </c>
      <c r="K362" s="2">
        <v>2.9069999999999999E-3</v>
      </c>
      <c r="L362" s="2">
        <v>0.21460099999999999</v>
      </c>
      <c r="M362" s="2">
        <v>0.29988999999999999</v>
      </c>
      <c r="N362" s="2">
        <v>8.2026599999999998</v>
      </c>
    </row>
    <row r="363" spans="1:14" x14ac:dyDescent="0.35">
      <c r="A363" s="2" t="s">
        <v>370</v>
      </c>
      <c r="B363" s="3">
        <f t="shared" si="5"/>
        <v>37347</v>
      </c>
      <c r="C363" s="2">
        <v>1.6163369999999999</v>
      </c>
      <c r="D363" s="2">
        <v>1.921276</v>
      </c>
      <c r="E363" s="2">
        <v>3.1180919999999999</v>
      </c>
      <c r="F363" s="2">
        <v>6.654541</v>
      </c>
      <c r="G363" s="2">
        <v>0.61019999999999996</v>
      </c>
      <c r="H363" s="2">
        <v>8.2728999999999997E-2</v>
      </c>
      <c r="I363" s="2">
        <v>5.7549999999999997E-3</v>
      </c>
      <c r="J363" s="2">
        <v>4.8770000000000003E-3</v>
      </c>
      <c r="K363" s="2">
        <v>3.4949999999999998E-3</v>
      </c>
      <c r="L363" s="2">
        <v>0.212366</v>
      </c>
      <c r="M363" s="2">
        <v>0.30922300000000003</v>
      </c>
      <c r="N363" s="2">
        <v>7.579701</v>
      </c>
    </row>
    <row r="364" spans="1:14" x14ac:dyDescent="0.35">
      <c r="A364" s="2" t="s">
        <v>371</v>
      </c>
      <c r="B364" s="3">
        <f t="shared" si="5"/>
        <v>37377</v>
      </c>
      <c r="C364" s="2">
        <v>1.718424</v>
      </c>
      <c r="D364" s="2">
        <v>1.64523</v>
      </c>
      <c r="E364" s="2">
        <v>3.2449520000000001</v>
      </c>
      <c r="F364" s="2">
        <v>6.6128559999999998</v>
      </c>
      <c r="G364" s="2">
        <v>0.65818200000000004</v>
      </c>
      <c r="H364" s="2">
        <v>9.0972999999999998E-2</v>
      </c>
      <c r="I364" s="2">
        <v>6.1650000000000003E-3</v>
      </c>
      <c r="J364" s="2">
        <v>5.4079999999999996E-3</v>
      </c>
      <c r="K364" s="2">
        <v>3.6770000000000001E-3</v>
      </c>
      <c r="L364" s="2">
        <v>0.22475500000000001</v>
      </c>
      <c r="M364" s="2">
        <v>0.33097799999999999</v>
      </c>
      <c r="N364" s="2">
        <v>7.6041540000000003</v>
      </c>
    </row>
    <row r="365" spans="1:14" x14ac:dyDescent="0.35">
      <c r="A365" s="2" t="s">
        <v>372</v>
      </c>
      <c r="B365" s="3">
        <f t="shared" si="5"/>
        <v>37408</v>
      </c>
      <c r="C365" s="2">
        <v>1.8612880000000001</v>
      </c>
      <c r="D365" s="2">
        <v>1.6249039999999999</v>
      </c>
      <c r="E365" s="2">
        <v>3.1691980000000002</v>
      </c>
      <c r="F365" s="2">
        <v>6.6577989999999998</v>
      </c>
      <c r="G365" s="2">
        <v>0.69305499999999998</v>
      </c>
      <c r="H365" s="2">
        <v>9.6262E-2</v>
      </c>
      <c r="I365" s="2">
        <v>5.8780000000000004E-3</v>
      </c>
      <c r="J365" s="2">
        <v>5.5849999999999997E-3</v>
      </c>
      <c r="K365" s="2">
        <v>3.8430000000000001E-3</v>
      </c>
      <c r="L365" s="2">
        <v>0.21453900000000001</v>
      </c>
      <c r="M365" s="2">
        <v>0.32610699999999998</v>
      </c>
      <c r="N365" s="2">
        <v>7.6831500000000004</v>
      </c>
    </row>
    <row r="366" spans="1:14" x14ac:dyDescent="0.35">
      <c r="A366" s="2" t="s">
        <v>373</v>
      </c>
      <c r="B366" s="3">
        <f t="shared" si="5"/>
        <v>37438</v>
      </c>
      <c r="C366" s="2">
        <v>2.0536340000000002</v>
      </c>
      <c r="D366" s="2">
        <v>1.7841549999999999</v>
      </c>
      <c r="E366" s="2">
        <v>3.3053889999999999</v>
      </c>
      <c r="F366" s="2">
        <v>7.1524109999999999</v>
      </c>
      <c r="G366" s="2">
        <v>0.73533400000000004</v>
      </c>
      <c r="H366" s="2">
        <v>8.6905999999999997E-2</v>
      </c>
      <c r="I366" s="2">
        <v>6.3229999999999996E-3</v>
      </c>
      <c r="J366" s="2">
        <v>5.8120000000000003E-3</v>
      </c>
      <c r="K366" s="2">
        <v>3.0379999999999999E-3</v>
      </c>
      <c r="L366" s="2">
        <v>0.236261</v>
      </c>
      <c r="M366" s="2">
        <v>0.33833999999999997</v>
      </c>
      <c r="N366" s="2">
        <v>8.2383229999999994</v>
      </c>
    </row>
    <row r="367" spans="1:14" x14ac:dyDescent="0.35">
      <c r="A367" s="2" t="s">
        <v>374</v>
      </c>
      <c r="B367" s="3">
        <f t="shared" si="5"/>
        <v>37469</v>
      </c>
      <c r="C367" s="2">
        <v>2.0338120000000002</v>
      </c>
      <c r="D367" s="2">
        <v>1.761258</v>
      </c>
      <c r="E367" s="2">
        <v>3.324274</v>
      </c>
      <c r="F367" s="2">
        <v>7.1265710000000002</v>
      </c>
      <c r="G367" s="2">
        <v>0.73906099999999997</v>
      </c>
      <c r="H367" s="2">
        <v>7.1938000000000002E-2</v>
      </c>
      <c r="I367" s="2">
        <v>6.2030000000000002E-3</v>
      </c>
      <c r="J367" s="2">
        <v>5.7190000000000001E-3</v>
      </c>
      <c r="K367" s="2">
        <v>3.3319999999999999E-3</v>
      </c>
      <c r="L367" s="2">
        <v>0.223963</v>
      </c>
      <c r="M367" s="2">
        <v>0.31115500000000001</v>
      </c>
      <c r="N367" s="2">
        <v>8.1868909999999993</v>
      </c>
    </row>
    <row r="368" spans="1:14" x14ac:dyDescent="0.35">
      <c r="A368" s="2" t="s">
        <v>375</v>
      </c>
      <c r="B368" s="3">
        <f t="shared" si="5"/>
        <v>37500</v>
      </c>
      <c r="C368" s="2">
        <v>1.875494</v>
      </c>
      <c r="D368" s="2">
        <v>1.574066</v>
      </c>
      <c r="E368" s="2">
        <v>3.0924130000000001</v>
      </c>
      <c r="F368" s="2">
        <v>6.5505050000000002</v>
      </c>
      <c r="G368" s="2">
        <v>0.67330800000000002</v>
      </c>
      <c r="H368" s="2">
        <v>5.8299999999999998E-2</v>
      </c>
      <c r="I368" s="2">
        <v>6.0289999999999996E-3</v>
      </c>
      <c r="J368" s="2">
        <v>5.1619999999999999E-3</v>
      </c>
      <c r="K368" s="2">
        <v>2.5110000000000002E-3</v>
      </c>
      <c r="L368" s="2">
        <v>0.22997100000000001</v>
      </c>
      <c r="M368" s="2">
        <v>0.30197299999999999</v>
      </c>
      <c r="N368" s="2">
        <v>7.5312760000000001</v>
      </c>
    </row>
    <row r="369" spans="1:14" x14ac:dyDescent="0.35">
      <c r="A369" s="2" t="s">
        <v>376</v>
      </c>
      <c r="B369" s="3">
        <f t="shared" si="5"/>
        <v>37530</v>
      </c>
      <c r="C369" s="2">
        <v>1.8172470000000001</v>
      </c>
      <c r="D369" s="2">
        <v>1.679165</v>
      </c>
      <c r="E369" s="2">
        <v>3.2172909999999999</v>
      </c>
      <c r="F369" s="2">
        <v>6.7200170000000004</v>
      </c>
      <c r="G369" s="2">
        <v>0.63166800000000001</v>
      </c>
      <c r="H369" s="2">
        <v>5.8589000000000002E-2</v>
      </c>
      <c r="I369" s="2">
        <v>6.2310000000000004E-3</v>
      </c>
      <c r="J369" s="2">
        <v>4.6470000000000001E-3</v>
      </c>
      <c r="K369" s="2">
        <v>2.506E-3</v>
      </c>
      <c r="L369" s="2">
        <v>0.243674</v>
      </c>
      <c r="M369" s="2">
        <v>0.31564599999999998</v>
      </c>
      <c r="N369" s="2">
        <v>7.6718440000000001</v>
      </c>
    </row>
    <row r="370" spans="1:14" x14ac:dyDescent="0.35">
      <c r="A370" s="2" t="s">
        <v>377</v>
      </c>
      <c r="B370" s="3">
        <f t="shared" si="5"/>
        <v>37561</v>
      </c>
      <c r="C370" s="2">
        <v>1.7873889999999999</v>
      </c>
      <c r="D370" s="2">
        <v>1.9531270000000001</v>
      </c>
      <c r="E370" s="2">
        <v>3.158677</v>
      </c>
      <c r="F370" s="2">
        <v>6.9094490000000004</v>
      </c>
      <c r="G370" s="2">
        <v>0.64239500000000005</v>
      </c>
      <c r="H370" s="2">
        <v>6.7319000000000004E-2</v>
      </c>
      <c r="I370" s="2">
        <v>6.0099999999999997E-3</v>
      </c>
      <c r="J370" s="2">
        <v>3.8210000000000002E-3</v>
      </c>
      <c r="K370" s="2">
        <v>2.238E-3</v>
      </c>
      <c r="L370" s="2">
        <v>0.23253299999999999</v>
      </c>
      <c r="M370" s="2">
        <v>0.311921</v>
      </c>
      <c r="N370" s="2">
        <v>7.8669479999999998</v>
      </c>
    </row>
    <row r="371" spans="1:14" x14ac:dyDescent="0.35">
      <c r="A371" s="2" t="s">
        <v>378</v>
      </c>
      <c r="B371" s="3">
        <f t="shared" si="5"/>
        <v>37591</v>
      </c>
      <c r="C371" s="2">
        <v>1.9441679999999999</v>
      </c>
      <c r="D371" s="2">
        <v>2.4292929999999999</v>
      </c>
      <c r="E371" s="2">
        <v>3.2459660000000001</v>
      </c>
      <c r="F371" s="2">
        <v>7.6227470000000004</v>
      </c>
      <c r="G371" s="2">
        <v>0.71951100000000001</v>
      </c>
      <c r="H371" s="2">
        <v>7.3932999999999999E-2</v>
      </c>
      <c r="I371" s="2">
        <v>6.2350000000000001E-3</v>
      </c>
      <c r="J371" s="2">
        <v>3.5509999999999999E-3</v>
      </c>
      <c r="K371" s="2">
        <v>2.5769999999999999E-3</v>
      </c>
      <c r="L371" s="2">
        <v>0.24173700000000001</v>
      </c>
      <c r="M371" s="2">
        <v>0.32803300000000002</v>
      </c>
      <c r="N371" s="2">
        <v>8.6720889999999997</v>
      </c>
    </row>
    <row r="372" spans="1:14" x14ac:dyDescent="0.35">
      <c r="A372" s="2" t="s">
        <v>379</v>
      </c>
      <c r="B372" s="3">
        <f t="shared" si="5"/>
        <v>37622</v>
      </c>
      <c r="C372" s="2">
        <v>2.0188449999999998</v>
      </c>
      <c r="D372" s="2">
        <v>2.7698649999999998</v>
      </c>
      <c r="E372" s="2">
        <v>3.2497060000000002</v>
      </c>
      <c r="F372" s="2">
        <v>8.0397130000000008</v>
      </c>
      <c r="G372" s="2">
        <v>0.72131800000000001</v>
      </c>
      <c r="H372" s="2">
        <v>7.0287000000000002E-2</v>
      </c>
      <c r="I372" s="2">
        <v>6.6179999999999998E-3</v>
      </c>
      <c r="J372" s="2">
        <v>2.8479999999999998E-3</v>
      </c>
      <c r="K372" s="2">
        <v>2.1580000000000002E-3</v>
      </c>
      <c r="L372" s="2">
        <v>0.23471700000000001</v>
      </c>
      <c r="M372" s="2">
        <v>0.31662899999999999</v>
      </c>
      <c r="N372" s="2">
        <v>9.0821839999999998</v>
      </c>
    </row>
    <row r="373" spans="1:14" x14ac:dyDescent="0.35">
      <c r="A373" s="2" t="s">
        <v>380</v>
      </c>
      <c r="B373" s="3">
        <f t="shared" si="5"/>
        <v>37653</v>
      </c>
      <c r="C373" s="2">
        <v>1.7743169999999999</v>
      </c>
      <c r="D373" s="2">
        <v>2.5643630000000002</v>
      </c>
      <c r="E373" s="2">
        <v>3.0000710000000002</v>
      </c>
      <c r="F373" s="2">
        <v>7.3522230000000004</v>
      </c>
      <c r="G373" s="2">
        <v>0.63513600000000003</v>
      </c>
      <c r="H373" s="2">
        <v>6.7488999999999993E-2</v>
      </c>
      <c r="I373" s="2">
        <v>5.9589999999999999E-3</v>
      </c>
      <c r="J373" s="2">
        <v>3.0829999999999998E-3</v>
      </c>
      <c r="K373" s="2">
        <v>2.5430000000000001E-3</v>
      </c>
      <c r="L373" s="2">
        <v>0.216118</v>
      </c>
      <c r="M373" s="2">
        <v>0.29519200000000001</v>
      </c>
      <c r="N373" s="2">
        <v>8.2857280000000006</v>
      </c>
    </row>
    <row r="374" spans="1:14" x14ac:dyDescent="0.35">
      <c r="A374" s="2" t="s">
        <v>381</v>
      </c>
      <c r="B374" s="3">
        <f t="shared" si="5"/>
        <v>37681</v>
      </c>
      <c r="C374" s="2">
        <v>1.756996</v>
      </c>
      <c r="D374" s="2">
        <v>2.2538490000000002</v>
      </c>
      <c r="E374" s="2">
        <v>3.2365210000000002</v>
      </c>
      <c r="F374" s="2">
        <v>7.2508850000000002</v>
      </c>
      <c r="G374" s="2">
        <v>0.62462399999999996</v>
      </c>
      <c r="H374" s="2">
        <v>8.2577999999999999E-2</v>
      </c>
      <c r="I374" s="2">
        <v>6.4650000000000003E-3</v>
      </c>
      <c r="J374" s="2">
        <v>4.3340000000000002E-3</v>
      </c>
      <c r="K374" s="2">
        <v>3.5349999999999999E-3</v>
      </c>
      <c r="L374" s="2">
        <v>0.23119500000000001</v>
      </c>
      <c r="M374" s="2">
        <v>0.32810800000000001</v>
      </c>
      <c r="N374" s="2">
        <v>8.2048930000000002</v>
      </c>
    </row>
    <row r="375" spans="1:14" x14ac:dyDescent="0.35">
      <c r="A375" s="2" t="s">
        <v>382</v>
      </c>
      <c r="B375" s="3">
        <f t="shared" si="5"/>
        <v>37712</v>
      </c>
      <c r="C375" s="2">
        <v>1.616938</v>
      </c>
      <c r="D375" s="2">
        <v>1.7876259999999999</v>
      </c>
      <c r="E375" s="2">
        <v>3.1552760000000002</v>
      </c>
      <c r="F375" s="2">
        <v>6.5638079999999999</v>
      </c>
      <c r="G375" s="2">
        <v>0.59171499999999999</v>
      </c>
      <c r="H375" s="2">
        <v>8.4477999999999998E-2</v>
      </c>
      <c r="I375" s="2">
        <v>6.2319999999999997E-3</v>
      </c>
      <c r="J375" s="2">
        <v>4.7949999999999998E-3</v>
      </c>
      <c r="K375" s="2">
        <v>3.7290000000000001E-3</v>
      </c>
      <c r="L375" s="2">
        <v>0.22873599999999999</v>
      </c>
      <c r="M375" s="2">
        <v>0.32796799999999998</v>
      </c>
      <c r="N375" s="2">
        <v>7.4863470000000003</v>
      </c>
    </row>
    <row r="376" spans="1:14" x14ac:dyDescent="0.35">
      <c r="A376" s="2" t="s">
        <v>383</v>
      </c>
      <c r="B376" s="3">
        <f t="shared" si="5"/>
        <v>37742</v>
      </c>
      <c r="C376" s="2">
        <v>1.7102489999999999</v>
      </c>
      <c r="D376" s="2">
        <v>1.55118</v>
      </c>
      <c r="E376" s="2">
        <v>3.1933500000000001</v>
      </c>
      <c r="F376" s="2">
        <v>6.4565919999999997</v>
      </c>
      <c r="G376" s="2">
        <v>0.64826899999999998</v>
      </c>
      <c r="H376" s="2">
        <v>0.100297</v>
      </c>
      <c r="I376" s="2">
        <v>6.3150000000000003E-3</v>
      </c>
      <c r="J376" s="2">
        <v>5.2979999999999998E-3</v>
      </c>
      <c r="K376" s="2">
        <v>3.434E-3</v>
      </c>
      <c r="L376" s="2">
        <v>0.229825</v>
      </c>
      <c r="M376" s="2">
        <v>0.34516799999999997</v>
      </c>
      <c r="N376" s="2">
        <v>7.4513930000000004</v>
      </c>
    </row>
    <row r="377" spans="1:14" x14ac:dyDescent="0.35">
      <c r="A377" s="2" t="s">
        <v>384</v>
      </c>
      <c r="B377" s="3">
        <f t="shared" si="5"/>
        <v>37773</v>
      </c>
      <c r="C377" s="2">
        <v>1.8451789999999999</v>
      </c>
      <c r="D377" s="2">
        <v>1.401748</v>
      </c>
      <c r="E377" s="2">
        <v>3.1734100000000001</v>
      </c>
      <c r="F377" s="2">
        <v>6.424067</v>
      </c>
      <c r="G377" s="2">
        <v>0.66889200000000004</v>
      </c>
      <c r="H377" s="2">
        <v>9.7535999999999998E-2</v>
      </c>
      <c r="I377" s="2">
        <v>6.424E-3</v>
      </c>
      <c r="J377" s="2">
        <v>5.4209999999999996E-3</v>
      </c>
      <c r="K377" s="2">
        <v>3.5729999999999998E-3</v>
      </c>
      <c r="L377" s="2">
        <v>0.22739500000000001</v>
      </c>
      <c r="M377" s="2">
        <v>0.34034900000000001</v>
      </c>
      <c r="N377" s="2">
        <v>7.4346420000000002</v>
      </c>
    </row>
    <row r="378" spans="1:14" x14ac:dyDescent="0.35">
      <c r="A378" s="2" t="s">
        <v>385</v>
      </c>
      <c r="B378" s="3">
        <f t="shared" si="5"/>
        <v>37803</v>
      </c>
      <c r="C378" s="2">
        <v>2.0464579999999999</v>
      </c>
      <c r="D378" s="2">
        <v>1.639346</v>
      </c>
      <c r="E378" s="2">
        <v>3.3242720000000001</v>
      </c>
      <c r="F378" s="2">
        <v>7.014799</v>
      </c>
      <c r="G378" s="2">
        <v>0.72592100000000004</v>
      </c>
      <c r="H378" s="2">
        <v>8.4764999999999993E-2</v>
      </c>
      <c r="I378" s="2">
        <v>6.5170000000000002E-3</v>
      </c>
      <c r="J378" s="2">
        <v>5.5789999999999998E-3</v>
      </c>
      <c r="K378" s="2">
        <v>3.2529999999999998E-3</v>
      </c>
      <c r="L378" s="2">
        <v>0.24176600000000001</v>
      </c>
      <c r="M378" s="2">
        <v>0.34187899999999999</v>
      </c>
      <c r="N378" s="2">
        <v>8.0904579999999999</v>
      </c>
    </row>
    <row r="379" spans="1:14" x14ac:dyDescent="0.35">
      <c r="A379" s="2" t="s">
        <v>386</v>
      </c>
      <c r="B379" s="3">
        <f t="shared" si="5"/>
        <v>37834</v>
      </c>
      <c r="C379" s="2">
        <v>2.0768580000000001</v>
      </c>
      <c r="D379" s="2">
        <v>1.691505</v>
      </c>
      <c r="E379" s="2">
        <v>3.3927399999999999</v>
      </c>
      <c r="F379" s="2">
        <v>7.1620530000000002</v>
      </c>
      <c r="G379" s="2">
        <v>0.71936699999999998</v>
      </c>
      <c r="H379" s="2">
        <v>7.8381000000000006E-2</v>
      </c>
      <c r="I379" s="2">
        <v>6.4879999999999998E-3</v>
      </c>
      <c r="J379" s="2">
        <v>5.522E-3</v>
      </c>
      <c r="K379" s="2">
        <v>2.7820000000000002E-3</v>
      </c>
      <c r="L379" s="2">
        <v>0.24077899999999999</v>
      </c>
      <c r="M379" s="2">
        <v>0.33395200000000003</v>
      </c>
      <c r="N379" s="2">
        <v>8.222899</v>
      </c>
    </row>
    <row r="380" spans="1:14" x14ac:dyDescent="0.35">
      <c r="A380" s="2" t="s">
        <v>387</v>
      </c>
      <c r="B380" s="3">
        <f t="shared" si="5"/>
        <v>37865</v>
      </c>
      <c r="C380" s="2">
        <v>1.8656060000000001</v>
      </c>
      <c r="D380" s="2">
        <v>1.4634819999999999</v>
      </c>
      <c r="E380" s="2">
        <v>3.166315</v>
      </c>
      <c r="F380" s="2">
        <v>6.4990370000000004</v>
      </c>
      <c r="G380" s="2">
        <v>0.66266899999999995</v>
      </c>
      <c r="H380" s="2">
        <v>6.3055E-2</v>
      </c>
      <c r="I380" s="2">
        <v>6.3579999999999999E-3</v>
      </c>
      <c r="J380" s="2">
        <v>5.0340000000000003E-3</v>
      </c>
      <c r="K380" s="2">
        <v>3.0539999999999999E-3</v>
      </c>
      <c r="L380" s="2">
        <v>0.22927400000000001</v>
      </c>
      <c r="M380" s="2">
        <v>0.30677599999999999</v>
      </c>
      <c r="N380" s="2">
        <v>7.4671329999999996</v>
      </c>
    </row>
    <row r="381" spans="1:14" x14ac:dyDescent="0.35">
      <c r="A381" s="2" t="s">
        <v>388</v>
      </c>
      <c r="B381" s="3">
        <f t="shared" si="5"/>
        <v>37895</v>
      </c>
      <c r="C381" s="2">
        <v>1.8021069999999999</v>
      </c>
      <c r="D381" s="2">
        <v>1.591264</v>
      </c>
      <c r="E381" s="2">
        <v>3.3109000000000002</v>
      </c>
      <c r="F381" s="2">
        <v>6.708386</v>
      </c>
      <c r="G381" s="2">
        <v>0.62548899999999996</v>
      </c>
      <c r="H381" s="2">
        <v>6.2878000000000003E-2</v>
      </c>
      <c r="I381" s="2">
        <v>6.4060000000000002E-3</v>
      </c>
      <c r="J381" s="2">
        <v>4.535E-3</v>
      </c>
      <c r="K381" s="2">
        <v>3.0609999999999999E-3</v>
      </c>
      <c r="L381" s="2">
        <v>0.23712900000000001</v>
      </c>
      <c r="M381" s="2">
        <v>0.31400899999999998</v>
      </c>
      <c r="N381" s="2">
        <v>7.6431100000000001</v>
      </c>
    </row>
    <row r="382" spans="1:14" x14ac:dyDescent="0.35">
      <c r="A382" s="2" t="s">
        <v>389</v>
      </c>
      <c r="B382" s="3">
        <f t="shared" si="5"/>
        <v>37926</v>
      </c>
      <c r="C382" s="2">
        <v>1.813367</v>
      </c>
      <c r="D382" s="2">
        <v>1.796227</v>
      </c>
      <c r="E382" s="2">
        <v>3.140625</v>
      </c>
      <c r="F382" s="2">
        <v>6.7532870000000003</v>
      </c>
      <c r="G382" s="2">
        <v>0.62115100000000001</v>
      </c>
      <c r="H382" s="2">
        <v>6.7267999999999994E-2</v>
      </c>
      <c r="I382" s="2">
        <v>6.1799999999999997E-3</v>
      </c>
      <c r="J382" s="2">
        <v>3.669E-3</v>
      </c>
      <c r="K382" s="2">
        <v>3.2799999999999999E-3</v>
      </c>
      <c r="L382" s="2">
        <v>0.236682</v>
      </c>
      <c r="M382" s="2">
        <v>0.31707999999999997</v>
      </c>
      <c r="N382" s="2">
        <v>7.6888889999999996</v>
      </c>
    </row>
    <row r="383" spans="1:14" x14ac:dyDescent="0.35">
      <c r="A383" s="2" t="s">
        <v>390</v>
      </c>
      <c r="B383" s="3">
        <f t="shared" si="5"/>
        <v>37956</v>
      </c>
      <c r="C383" s="2">
        <v>1.9940070000000001</v>
      </c>
      <c r="D383" s="2">
        <v>2.3201909999999999</v>
      </c>
      <c r="E383" s="2">
        <v>3.3638159999999999</v>
      </c>
      <c r="F383" s="2">
        <v>7.6842410000000001</v>
      </c>
      <c r="G383" s="2">
        <v>0.71507100000000001</v>
      </c>
      <c r="H383" s="2">
        <v>8.2039000000000001E-2</v>
      </c>
      <c r="I383" s="2">
        <v>6.6530000000000001E-3</v>
      </c>
      <c r="J383" s="2">
        <v>3.4520000000000002E-3</v>
      </c>
      <c r="K383" s="2">
        <v>3.7699999999999999E-3</v>
      </c>
      <c r="L383" s="2">
        <v>0.252855</v>
      </c>
      <c r="M383" s="2">
        <v>0.34876800000000002</v>
      </c>
      <c r="N383" s="2">
        <v>8.7488229999999998</v>
      </c>
    </row>
    <row r="384" spans="1:14" x14ac:dyDescent="0.35">
      <c r="A384" s="2" t="s">
        <v>391</v>
      </c>
      <c r="B384" s="3">
        <f t="shared" si="5"/>
        <v>37987</v>
      </c>
      <c r="C384" s="2">
        <v>2.025102</v>
      </c>
      <c r="D384" s="2">
        <v>2.7388050000000002</v>
      </c>
      <c r="E384" s="2">
        <v>3.3283610000000001</v>
      </c>
      <c r="F384" s="2">
        <v>8.0963229999999999</v>
      </c>
      <c r="G384" s="2">
        <v>0.738367</v>
      </c>
      <c r="H384" s="2">
        <v>7.8419000000000003E-2</v>
      </c>
      <c r="I384" s="2">
        <v>6.9420000000000003E-3</v>
      </c>
      <c r="J384" s="2">
        <v>2.8089999999999999E-3</v>
      </c>
      <c r="K384" s="2">
        <v>3.4099999999999998E-3</v>
      </c>
      <c r="L384" s="2">
        <v>0.25649499999999997</v>
      </c>
      <c r="M384" s="2">
        <v>0.34807500000000002</v>
      </c>
      <c r="N384" s="2">
        <v>9.1831969999999998</v>
      </c>
    </row>
    <row r="385" spans="1:14" x14ac:dyDescent="0.35">
      <c r="A385" s="2" t="s">
        <v>392</v>
      </c>
      <c r="B385" s="3">
        <f t="shared" si="5"/>
        <v>38018</v>
      </c>
      <c r="C385" s="2">
        <v>1.830837</v>
      </c>
      <c r="D385" s="2">
        <v>2.5701529999999999</v>
      </c>
      <c r="E385" s="2">
        <v>3.1795909999999998</v>
      </c>
      <c r="F385" s="2">
        <v>7.589798</v>
      </c>
      <c r="G385" s="2">
        <v>0.66845500000000002</v>
      </c>
      <c r="H385" s="2">
        <v>7.1357000000000004E-2</v>
      </c>
      <c r="I385" s="2">
        <v>6.5040000000000002E-3</v>
      </c>
      <c r="J385" s="2">
        <v>3.019E-3</v>
      </c>
      <c r="K385" s="2">
        <v>3.4859999999999999E-3</v>
      </c>
      <c r="L385" s="2">
        <v>0.23854300000000001</v>
      </c>
      <c r="M385" s="2">
        <v>0.32290799999999997</v>
      </c>
      <c r="N385" s="2">
        <v>8.5807629999999993</v>
      </c>
    </row>
    <row r="386" spans="1:14" x14ac:dyDescent="0.35">
      <c r="A386" s="2" t="s">
        <v>393</v>
      </c>
      <c r="B386" s="3">
        <f t="shared" si="5"/>
        <v>38047</v>
      </c>
      <c r="C386" s="2">
        <v>1.7464789999999999</v>
      </c>
      <c r="D386" s="2">
        <v>2.1495669999999998</v>
      </c>
      <c r="E386" s="2">
        <v>3.3577840000000001</v>
      </c>
      <c r="F386" s="2">
        <v>7.2633780000000003</v>
      </c>
      <c r="G386" s="2">
        <v>0.659937</v>
      </c>
      <c r="H386" s="2">
        <v>7.8184000000000003E-2</v>
      </c>
      <c r="I386" s="2">
        <v>6.7580000000000001E-3</v>
      </c>
      <c r="J386" s="2">
        <v>4.2890000000000003E-3</v>
      </c>
      <c r="K386" s="2">
        <v>4.4060000000000002E-3</v>
      </c>
      <c r="L386" s="2">
        <v>0.24862999999999999</v>
      </c>
      <c r="M386" s="2">
        <v>0.34226699999999999</v>
      </c>
      <c r="N386" s="2">
        <v>8.2624340000000007</v>
      </c>
    </row>
    <row r="387" spans="1:14" x14ac:dyDescent="0.35">
      <c r="A387" s="2" t="s">
        <v>394</v>
      </c>
      <c r="B387" s="3">
        <f t="shared" si="5"/>
        <v>38078</v>
      </c>
      <c r="C387" s="2">
        <v>1.6160000000000001</v>
      </c>
      <c r="D387" s="2">
        <v>1.7851589999999999</v>
      </c>
      <c r="E387" s="2">
        <v>3.267693</v>
      </c>
      <c r="F387" s="2">
        <v>6.6924489999999999</v>
      </c>
      <c r="G387" s="2">
        <v>0.61129199999999995</v>
      </c>
      <c r="H387" s="2">
        <v>7.127E-2</v>
      </c>
      <c r="I387" s="2">
        <v>6.4050000000000001E-3</v>
      </c>
      <c r="J387" s="2">
        <v>4.7219999999999996E-3</v>
      </c>
      <c r="K387" s="2">
        <v>4.4180000000000001E-3</v>
      </c>
      <c r="L387" s="2">
        <v>0.24841199999999999</v>
      </c>
      <c r="M387" s="2">
        <v>0.335227</v>
      </c>
      <c r="N387" s="2">
        <v>7.6389829999999996</v>
      </c>
    </row>
    <row r="388" spans="1:14" x14ac:dyDescent="0.35">
      <c r="A388" s="2" t="s">
        <v>395</v>
      </c>
      <c r="B388" s="3">
        <f t="shared" si="5"/>
        <v>38108</v>
      </c>
      <c r="C388" s="2">
        <v>1.7793190000000001</v>
      </c>
      <c r="D388" s="2">
        <v>1.607812</v>
      </c>
      <c r="E388" s="2">
        <v>3.3411840000000002</v>
      </c>
      <c r="F388" s="2">
        <v>6.7655640000000004</v>
      </c>
      <c r="G388" s="2">
        <v>0.67695899999999998</v>
      </c>
      <c r="H388" s="2">
        <v>8.1955E-2</v>
      </c>
      <c r="I388" s="2">
        <v>6.6439999999999997E-3</v>
      </c>
      <c r="J388" s="2">
        <v>5.2779999999999997E-3</v>
      </c>
      <c r="K388" s="2">
        <v>5.8060000000000004E-3</v>
      </c>
      <c r="L388" s="2">
        <v>0.24496399999999999</v>
      </c>
      <c r="M388" s="2">
        <v>0.34464699999999998</v>
      </c>
      <c r="N388" s="2">
        <v>7.7877689999999999</v>
      </c>
    </row>
    <row r="389" spans="1:14" x14ac:dyDescent="0.35">
      <c r="A389" s="2" t="s">
        <v>396</v>
      </c>
      <c r="B389" s="3">
        <f t="shared" si="5"/>
        <v>38139</v>
      </c>
      <c r="C389" s="2">
        <v>1.886474</v>
      </c>
      <c r="D389" s="2">
        <v>1.5207870000000001</v>
      </c>
      <c r="E389" s="2">
        <v>3.311893</v>
      </c>
      <c r="F389" s="2">
        <v>6.739287</v>
      </c>
      <c r="G389" s="2">
        <v>0.70633100000000004</v>
      </c>
      <c r="H389" s="2">
        <v>8.6161000000000001E-2</v>
      </c>
      <c r="I389" s="2">
        <v>6.6210000000000001E-3</v>
      </c>
      <c r="J389" s="2">
        <v>5.3429999999999997E-3</v>
      </c>
      <c r="K389" s="2">
        <v>4.7670000000000004E-3</v>
      </c>
      <c r="L389" s="2">
        <v>0.246754</v>
      </c>
      <c r="M389" s="2">
        <v>0.34964699999999999</v>
      </c>
      <c r="N389" s="2">
        <v>7.7974550000000002</v>
      </c>
    </row>
    <row r="390" spans="1:14" x14ac:dyDescent="0.35">
      <c r="A390" s="2" t="s">
        <v>397</v>
      </c>
      <c r="B390" s="3">
        <f t="shared" si="5"/>
        <v>38169</v>
      </c>
      <c r="C390" s="2">
        <v>2.0424630000000001</v>
      </c>
      <c r="D390" s="2">
        <v>1.6235729999999999</v>
      </c>
      <c r="E390" s="2">
        <v>3.4464579999999998</v>
      </c>
      <c r="F390" s="2">
        <v>7.1218769999999996</v>
      </c>
      <c r="G390" s="2">
        <v>0.750556</v>
      </c>
      <c r="H390" s="2">
        <v>7.9561999999999994E-2</v>
      </c>
      <c r="I390" s="2">
        <v>6.8830000000000002E-3</v>
      </c>
      <c r="J390" s="2">
        <v>5.5750000000000001E-3</v>
      </c>
      <c r="K390" s="2">
        <v>3.973E-3</v>
      </c>
      <c r="L390" s="2">
        <v>0.257191</v>
      </c>
      <c r="M390" s="2">
        <v>0.353184</v>
      </c>
      <c r="N390" s="2">
        <v>8.2355</v>
      </c>
    </row>
    <row r="391" spans="1:14" x14ac:dyDescent="0.35">
      <c r="A391" s="2" t="s">
        <v>398</v>
      </c>
      <c r="B391" s="3">
        <f t="shared" si="5"/>
        <v>38200</v>
      </c>
      <c r="C391" s="2">
        <v>2.0151859999999999</v>
      </c>
      <c r="D391" s="2">
        <v>1.613918</v>
      </c>
      <c r="E391" s="2">
        <v>3.463136</v>
      </c>
      <c r="F391" s="2">
        <v>7.0990520000000004</v>
      </c>
      <c r="G391" s="2">
        <v>0.74110200000000004</v>
      </c>
      <c r="H391" s="2">
        <v>7.3672000000000001E-2</v>
      </c>
      <c r="I391" s="2">
        <v>6.8129999999999996E-3</v>
      </c>
      <c r="J391" s="2">
        <v>5.4879999999999998E-3</v>
      </c>
      <c r="K391" s="2">
        <v>3.5850000000000001E-3</v>
      </c>
      <c r="L391" s="2">
        <v>0.254388</v>
      </c>
      <c r="M391" s="2">
        <v>0.343947</v>
      </c>
      <c r="N391" s="2">
        <v>8.1957970000000007</v>
      </c>
    </row>
    <row r="392" spans="1:14" x14ac:dyDescent="0.35">
      <c r="A392" s="2" t="s">
        <v>399</v>
      </c>
      <c r="B392" s="3">
        <f t="shared" si="5"/>
        <v>38231</v>
      </c>
      <c r="C392" s="2">
        <v>1.8777999999999999</v>
      </c>
      <c r="D392" s="2">
        <v>1.5153099999999999</v>
      </c>
      <c r="E392" s="2">
        <v>3.2680509999999998</v>
      </c>
      <c r="F392" s="2">
        <v>6.65937</v>
      </c>
      <c r="G392" s="2">
        <v>0.68753900000000001</v>
      </c>
      <c r="H392" s="2">
        <v>7.0031999999999997E-2</v>
      </c>
      <c r="I392" s="2">
        <v>6.4970000000000002E-3</v>
      </c>
      <c r="J392" s="2">
        <v>4.986E-3</v>
      </c>
      <c r="K392" s="2">
        <v>3.718E-3</v>
      </c>
      <c r="L392" s="2">
        <v>0.24385200000000001</v>
      </c>
      <c r="M392" s="2">
        <v>0.32908500000000002</v>
      </c>
      <c r="N392" s="2">
        <v>7.6792379999999998</v>
      </c>
    </row>
    <row r="393" spans="1:14" x14ac:dyDescent="0.35">
      <c r="A393" s="2" t="s">
        <v>400</v>
      </c>
      <c r="B393" s="3">
        <f t="shared" si="5"/>
        <v>38261</v>
      </c>
      <c r="C393" s="2">
        <v>1.80633</v>
      </c>
      <c r="D393" s="2">
        <v>1.5918049999999999</v>
      </c>
      <c r="E393" s="2">
        <v>3.4132259999999999</v>
      </c>
      <c r="F393" s="2">
        <v>6.8177079999999997</v>
      </c>
      <c r="G393" s="2">
        <v>0.65206699999999995</v>
      </c>
      <c r="H393" s="2">
        <v>6.4360000000000001E-2</v>
      </c>
      <c r="I393" s="2">
        <v>6.8789999999999997E-3</v>
      </c>
      <c r="J393" s="2">
        <v>4.47E-3</v>
      </c>
      <c r="K393" s="2">
        <v>3.5109999999999998E-3</v>
      </c>
      <c r="L393" s="2">
        <v>0.25476100000000002</v>
      </c>
      <c r="M393" s="2">
        <v>0.33398099999999997</v>
      </c>
      <c r="N393" s="2">
        <v>7.8073800000000002</v>
      </c>
    </row>
    <row r="394" spans="1:14" x14ac:dyDescent="0.35">
      <c r="A394" s="2" t="s">
        <v>401</v>
      </c>
      <c r="B394" s="3">
        <f t="shared" si="5"/>
        <v>38292</v>
      </c>
      <c r="C394" s="2">
        <v>1.819334</v>
      </c>
      <c r="D394" s="2">
        <v>1.823223</v>
      </c>
      <c r="E394" s="2">
        <v>3.296767</v>
      </c>
      <c r="F394" s="2">
        <v>6.9450190000000003</v>
      </c>
      <c r="G394" s="2">
        <v>0.61463500000000004</v>
      </c>
      <c r="H394" s="2">
        <v>7.1437E-2</v>
      </c>
      <c r="I394" s="2">
        <v>6.5779999999999996E-3</v>
      </c>
      <c r="J394" s="2">
        <v>3.6250000000000002E-3</v>
      </c>
      <c r="K394" s="2">
        <v>3.1809999999999998E-3</v>
      </c>
      <c r="L394" s="2">
        <v>0.24818399999999999</v>
      </c>
      <c r="M394" s="2">
        <v>0.333005</v>
      </c>
      <c r="N394" s="2">
        <v>7.8977639999999996</v>
      </c>
    </row>
    <row r="395" spans="1:14" x14ac:dyDescent="0.35">
      <c r="A395" s="2" t="s">
        <v>402</v>
      </c>
      <c r="B395" s="3">
        <f t="shared" si="5"/>
        <v>38322</v>
      </c>
      <c r="C395" s="2">
        <v>2.0208719999999998</v>
      </c>
      <c r="D395" s="2">
        <v>2.382949</v>
      </c>
      <c r="E395" s="2">
        <v>3.465109</v>
      </c>
      <c r="F395" s="2">
        <v>7.8764440000000002</v>
      </c>
      <c r="G395" s="2">
        <v>0.715534</v>
      </c>
      <c r="H395" s="2">
        <v>8.9430999999999997E-2</v>
      </c>
      <c r="I395" s="2">
        <v>6.8100000000000001E-3</v>
      </c>
      <c r="J395" s="2">
        <v>3.418E-3</v>
      </c>
      <c r="K395" s="2">
        <v>3.999E-3</v>
      </c>
      <c r="L395" s="2">
        <v>0.26589699999999999</v>
      </c>
      <c r="M395" s="2">
        <v>0.36955399999999999</v>
      </c>
      <c r="N395" s="2">
        <v>8.9668890000000001</v>
      </c>
    </row>
    <row r="396" spans="1:14" x14ac:dyDescent="0.35">
      <c r="A396" s="2" t="s">
        <v>403</v>
      </c>
      <c r="B396" s="3">
        <f t="shared" si="5"/>
        <v>38353</v>
      </c>
      <c r="C396" s="2">
        <v>2.012518</v>
      </c>
      <c r="D396" s="2">
        <v>2.629461</v>
      </c>
      <c r="E396" s="2">
        <v>3.3630170000000001</v>
      </c>
      <c r="F396" s="2">
        <v>8.015701</v>
      </c>
      <c r="G396" s="2">
        <v>0.72872800000000004</v>
      </c>
      <c r="H396" s="2">
        <v>8.2817000000000002E-2</v>
      </c>
      <c r="I396" s="2">
        <v>7.143E-3</v>
      </c>
      <c r="J396" s="2">
        <v>2.7420000000000001E-3</v>
      </c>
      <c r="K396" s="2">
        <v>3.8609999999999998E-3</v>
      </c>
      <c r="L396" s="2">
        <v>0.26561899999999999</v>
      </c>
      <c r="M396" s="2">
        <v>0.36218099999999998</v>
      </c>
      <c r="N396" s="2">
        <v>9.1116530000000004</v>
      </c>
    </row>
    <row r="397" spans="1:14" x14ac:dyDescent="0.35">
      <c r="A397" s="2" t="s">
        <v>404</v>
      </c>
      <c r="B397" s="3">
        <f t="shared" ref="B397:B460" si="6">DATEVALUE(MID(A397, 6, 20) &amp; " 1, " &amp; LEFT(A397, 4))</f>
        <v>38384</v>
      </c>
      <c r="C397" s="2">
        <v>1.77599</v>
      </c>
      <c r="D397" s="2">
        <v>2.3005059999999999</v>
      </c>
      <c r="E397" s="2">
        <v>3.0628000000000002</v>
      </c>
      <c r="F397" s="2">
        <v>7.1523560000000002</v>
      </c>
      <c r="G397" s="2">
        <v>0.636042</v>
      </c>
      <c r="H397" s="2">
        <v>7.3721999999999996E-2</v>
      </c>
      <c r="I397" s="2">
        <v>6.2199999999999998E-3</v>
      </c>
      <c r="J397" s="2">
        <v>2.9680000000000002E-3</v>
      </c>
      <c r="K397" s="2">
        <v>3.2980000000000002E-3</v>
      </c>
      <c r="L397" s="2">
        <v>0.24704100000000001</v>
      </c>
      <c r="M397" s="2">
        <v>0.33324900000000002</v>
      </c>
      <c r="N397" s="2">
        <v>8.1277869999999997</v>
      </c>
    </row>
    <row r="398" spans="1:14" x14ac:dyDescent="0.35">
      <c r="A398" s="2" t="s">
        <v>405</v>
      </c>
      <c r="B398" s="3">
        <f t="shared" si="6"/>
        <v>38412</v>
      </c>
      <c r="C398" s="2">
        <v>1.845437</v>
      </c>
      <c r="D398" s="2">
        <v>2.2612809999999999</v>
      </c>
      <c r="E398" s="2">
        <v>3.4362789999999999</v>
      </c>
      <c r="F398" s="2">
        <v>7.5519499999999997</v>
      </c>
      <c r="G398" s="2">
        <v>0.64221600000000001</v>
      </c>
      <c r="H398" s="2">
        <v>7.8257999999999994E-2</v>
      </c>
      <c r="I398" s="2">
        <v>6.9800000000000001E-3</v>
      </c>
      <c r="J398" s="2">
        <v>4.1580000000000002E-3</v>
      </c>
      <c r="K398" s="2">
        <v>5.3249999999999999E-3</v>
      </c>
      <c r="L398" s="2">
        <v>0.25949899999999998</v>
      </c>
      <c r="M398" s="2">
        <v>0.35421900000000001</v>
      </c>
      <c r="N398" s="2">
        <v>8.5565359999999995</v>
      </c>
    </row>
    <row r="399" spans="1:14" x14ac:dyDescent="0.35">
      <c r="A399" s="2" t="s">
        <v>406</v>
      </c>
      <c r="B399" s="3">
        <f t="shared" si="6"/>
        <v>38443</v>
      </c>
      <c r="C399" s="2">
        <v>1.637086</v>
      </c>
      <c r="D399" s="2">
        <v>1.767992</v>
      </c>
      <c r="E399" s="2">
        <v>3.20424</v>
      </c>
      <c r="F399" s="2">
        <v>6.6156819999999996</v>
      </c>
      <c r="G399" s="2">
        <v>0.57903099999999996</v>
      </c>
      <c r="H399" s="2">
        <v>7.8674999999999995E-2</v>
      </c>
      <c r="I399" s="2">
        <v>6.829E-3</v>
      </c>
      <c r="J399" s="2">
        <v>4.6379999999999998E-3</v>
      </c>
      <c r="K399" s="2">
        <v>5.7920000000000003E-3</v>
      </c>
      <c r="L399" s="2">
        <v>0.24632299999999999</v>
      </c>
      <c r="M399" s="2">
        <v>0.34225699999999998</v>
      </c>
      <c r="N399" s="2">
        <v>7.5432420000000002</v>
      </c>
    </row>
    <row r="400" spans="1:14" x14ac:dyDescent="0.35">
      <c r="A400" s="2" t="s">
        <v>407</v>
      </c>
      <c r="B400" s="3">
        <f t="shared" si="6"/>
        <v>38473</v>
      </c>
      <c r="C400" s="2">
        <v>1.748602</v>
      </c>
      <c r="D400" s="2">
        <v>1.5609869999999999</v>
      </c>
      <c r="E400" s="2">
        <v>3.3938899999999999</v>
      </c>
      <c r="F400" s="2">
        <v>6.7083089999999999</v>
      </c>
      <c r="G400" s="2">
        <v>0.65715999999999997</v>
      </c>
      <c r="H400" s="2">
        <v>9.3074000000000004E-2</v>
      </c>
      <c r="I400" s="2">
        <v>7.1850000000000004E-3</v>
      </c>
      <c r="J400" s="2">
        <v>5.1780000000000003E-3</v>
      </c>
      <c r="K400" s="2">
        <v>5.9589999999999999E-3</v>
      </c>
      <c r="L400" s="2">
        <v>0.25668600000000003</v>
      </c>
      <c r="M400" s="2">
        <v>0.36808200000000002</v>
      </c>
      <c r="N400" s="2">
        <v>7.7387329999999999</v>
      </c>
    </row>
    <row r="401" spans="1:14" x14ac:dyDescent="0.35">
      <c r="A401" s="2" t="s">
        <v>408</v>
      </c>
      <c r="B401" s="3">
        <f t="shared" si="6"/>
        <v>38504</v>
      </c>
      <c r="C401" s="2">
        <v>1.9538279999999999</v>
      </c>
      <c r="D401" s="2">
        <v>1.5716079999999999</v>
      </c>
      <c r="E401" s="2">
        <v>3.387677</v>
      </c>
      <c r="F401" s="2">
        <v>6.9141459999999997</v>
      </c>
      <c r="G401" s="2">
        <v>0.69028199999999995</v>
      </c>
      <c r="H401" s="2">
        <v>9.1384000000000007E-2</v>
      </c>
      <c r="I401" s="2">
        <v>7.0359999999999997E-3</v>
      </c>
      <c r="J401" s="2">
        <v>5.2469999999999999E-3</v>
      </c>
      <c r="K401" s="2">
        <v>6.1310000000000002E-3</v>
      </c>
      <c r="L401" s="2">
        <v>0.25511400000000001</v>
      </c>
      <c r="M401" s="2">
        <v>0.36491200000000001</v>
      </c>
      <c r="N401" s="2">
        <v>7.9747669999999999</v>
      </c>
    </row>
    <row r="402" spans="1:14" x14ac:dyDescent="0.35">
      <c r="A402" s="2" t="s">
        <v>409</v>
      </c>
      <c r="B402" s="3">
        <f t="shared" si="6"/>
        <v>38534</v>
      </c>
      <c r="C402" s="2">
        <v>2.0940189999999999</v>
      </c>
      <c r="D402" s="2">
        <v>1.7283599999999999</v>
      </c>
      <c r="E402" s="2">
        <v>3.4393319999999998</v>
      </c>
      <c r="F402" s="2">
        <v>7.2669620000000004</v>
      </c>
      <c r="G402" s="2">
        <v>0.74168699999999999</v>
      </c>
      <c r="H402" s="2">
        <v>8.8565000000000005E-2</v>
      </c>
      <c r="I402" s="2">
        <v>7.2129999999999998E-3</v>
      </c>
      <c r="J402" s="2">
        <v>5.4380000000000001E-3</v>
      </c>
      <c r="K402" s="2">
        <v>4.8479999999999999E-3</v>
      </c>
      <c r="L402" s="2">
        <v>0.26702799999999999</v>
      </c>
      <c r="M402" s="2">
        <v>0.37309199999999998</v>
      </c>
      <c r="N402" s="2">
        <v>8.391292</v>
      </c>
    </row>
    <row r="403" spans="1:14" x14ac:dyDescent="0.35">
      <c r="A403" s="2" t="s">
        <v>410</v>
      </c>
      <c r="B403" s="3">
        <f t="shared" si="6"/>
        <v>38565</v>
      </c>
      <c r="C403" s="2">
        <v>2.1167090000000002</v>
      </c>
      <c r="D403" s="2">
        <v>1.736863</v>
      </c>
      <c r="E403" s="2">
        <v>3.563507</v>
      </c>
      <c r="F403" s="2">
        <v>7.4135720000000003</v>
      </c>
      <c r="G403" s="2">
        <v>0.74493799999999999</v>
      </c>
      <c r="H403" s="2">
        <v>7.3581999999999995E-2</v>
      </c>
      <c r="I403" s="2">
        <v>7.149E-3</v>
      </c>
      <c r="J403" s="2">
        <v>5.3959999999999998E-3</v>
      </c>
      <c r="K403" s="2">
        <v>3.8830000000000002E-3</v>
      </c>
      <c r="L403" s="2">
        <v>0.26873000000000002</v>
      </c>
      <c r="M403" s="2">
        <v>0.35874</v>
      </c>
      <c r="N403" s="2">
        <v>8.5292530000000006</v>
      </c>
    </row>
    <row r="404" spans="1:14" x14ac:dyDescent="0.35">
      <c r="A404" s="2" t="s">
        <v>411</v>
      </c>
      <c r="B404" s="3">
        <f t="shared" si="6"/>
        <v>38596</v>
      </c>
      <c r="C404" s="2">
        <v>1.93733</v>
      </c>
      <c r="D404" s="2">
        <v>1.456699</v>
      </c>
      <c r="E404" s="2">
        <v>3.2305809999999999</v>
      </c>
      <c r="F404" s="2">
        <v>6.6218219999999999</v>
      </c>
      <c r="G404" s="2">
        <v>0.696488</v>
      </c>
      <c r="H404" s="2">
        <v>5.9244999999999999E-2</v>
      </c>
      <c r="I404" s="2">
        <v>6.9499999999999996E-3</v>
      </c>
      <c r="J404" s="2">
        <v>4.8939999999999999E-3</v>
      </c>
      <c r="K404" s="2">
        <v>5.0099999999999997E-3</v>
      </c>
      <c r="L404" s="2">
        <v>0.25583600000000001</v>
      </c>
      <c r="M404" s="2">
        <v>0.33193499999999998</v>
      </c>
      <c r="N404" s="2">
        <v>7.656542</v>
      </c>
    </row>
    <row r="405" spans="1:14" x14ac:dyDescent="0.35">
      <c r="A405" s="2" t="s">
        <v>412</v>
      </c>
      <c r="B405" s="3">
        <f t="shared" si="6"/>
        <v>38626</v>
      </c>
      <c r="C405" s="2">
        <v>1.851885</v>
      </c>
      <c r="D405" s="2">
        <v>1.4620610000000001</v>
      </c>
      <c r="E405" s="2">
        <v>3.3474689999999998</v>
      </c>
      <c r="F405" s="2">
        <v>6.660177</v>
      </c>
      <c r="G405" s="2">
        <v>0.63905500000000004</v>
      </c>
      <c r="H405" s="2">
        <v>6.1438E-2</v>
      </c>
      <c r="I405" s="2">
        <v>7.1260000000000004E-3</v>
      </c>
      <c r="J405" s="2">
        <v>4.3990000000000001E-3</v>
      </c>
      <c r="K405" s="2">
        <v>4.934E-3</v>
      </c>
      <c r="L405" s="2">
        <v>0.26238800000000001</v>
      </c>
      <c r="M405" s="2">
        <v>0.34028599999999998</v>
      </c>
      <c r="N405" s="2">
        <v>7.6459029999999997</v>
      </c>
    </row>
    <row r="406" spans="1:14" x14ac:dyDescent="0.35">
      <c r="A406" s="2" t="s">
        <v>413</v>
      </c>
      <c r="B406" s="3">
        <f t="shared" si="6"/>
        <v>38657</v>
      </c>
      <c r="C406" s="2">
        <v>1.802265</v>
      </c>
      <c r="D406" s="2">
        <v>1.704151</v>
      </c>
      <c r="E406" s="2">
        <v>3.281463</v>
      </c>
      <c r="F406" s="2">
        <v>6.7890199999999998</v>
      </c>
      <c r="G406" s="2">
        <v>0.65655699999999995</v>
      </c>
      <c r="H406" s="2">
        <v>6.6031000000000006E-2</v>
      </c>
      <c r="I406" s="2">
        <v>6.9389999999999999E-3</v>
      </c>
      <c r="J406" s="2">
        <v>3.5469999999999998E-3</v>
      </c>
      <c r="K406" s="2">
        <v>5.4920000000000004E-3</v>
      </c>
      <c r="L406" s="2">
        <v>0.258577</v>
      </c>
      <c r="M406" s="2">
        <v>0.340586</v>
      </c>
      <c r="N406" s="2">
        <v>7.7931739999999996</v>
      </c>
    </row>
    <row r="407" spans="1:14" x14ac:dyDescent="0.35">
      <c r="A407" s="2" t="s">
        <v>414</v>
      </c>
      <c r="B407" s="3">
        <f t="shared" si="6"/>
        <v>38687</v>
      </c>
      <c r="C407" s="2">
        <v>2.0208750000000002</v>
      </c>
      <c r="D407" s="2">
        <v>2.3853970000000002</v>
      </c>
      <c r="E407" s="2">
        <v>3.506313</v>
      </c>
      <c r="F407" s="2">
        <v>7.9129699999999996</v>
      </c>
      <c r="G407" s="2">
        <v>0.74862700000000004</v>
      </c>
      <c r="H407" s="2">
        <v>7.5546000000000002E-2</v>
      </c>
      <c r="I407" s="2">
        <v>7.1590000000000004E-3</v>
      </c>
      <c r="J407" s="2">
        <v>3.3349999999999999E-3</v>
      </c>
      <c r="K407" s="2">
        <v>6.2370000000000004E-3</v>
      </c>
      <c r="L407" s="2">
        <v>0.27108900000000002</v>
      </c>
      <c r="M407" s="2">
        <v>0.36336499999999999</v>
      </c>
      <c r="N407" s="2">
        <v>9.0320409999999995</v>
      </c>
    </row>
    <row r="408" spans="1:14" x14ac:dyDescent="0.35">
      <c r="A408" s="2" t="s">
        <v>415</v>
      </c>
      <c r="B408" s="3">
        <f t="shared" si="6"/>
        <v>38718</v>
      </c>
      <c r="C408" s="2">
        <v>1.909554</v>
      </c>
      <c r="D408" s="2">
        <v>2.2201659999999999</v>
      </c>
      <c r="E408" s="2">
        <v>3.3386619999999998</v>
      </c>
      <c r="F408" s="2">
        <v>7.4703929999999996</v>
      </c>
      <c r="G408" s="2">
        <v>0.75039699999999998</v>
      </c>
      <c r="H408" s="2">
        <v>9.3614000000000003E-2</v>
      </c>
      <c r="I408" s="2">
        <v>7.3119999999999999E-3</v>
      </c>
      <c r="J408" s="2">
        <v>2.8809999999999999E-3</v>
      </c>
      <c r="K408" s="2">
        <v>8.1300000000000001E-3</v>
      </c>
      <c r="L408" s="2">
        <v>0.27522000000000002</v>
      </c>
      <c r="M408" s="2">
        <v>0.38715699999999997</v>
      </c>
      <c r="N408" s="2">
        <v>8.6128699999999991</v>
      </c>
    </row>
    <row r="409" spans="1:14" x14ac:dyDescent="0.35">
      <c r="A409" s="2" t="s">
        <v>416</v>
      </c>
      <c r="B409" s="3">
        <f t="shared" si="6"/>
        <v>38749</v>
      </c>
      <c r="C409" s="2">
        <v>1.780597</v>
      </c>
      <c r="D409" s="2">
        <v>2.198556</v>
      </c>
      <c r="E409" s="2">
        <v>3.0217779999999999</v>
      </c>
      <c r="F409" s="2">
        <v>7.0046419999999996</v>
      </c>
      <c r="G409" s="2">
        <v>0.65339400000000003</v>
      </c>
      <c r="H409" s="2">
        <v>8.4487000000000007E-2</v>
      </c>
      <c r="I409" s="2">
        <v>6.6049999999999998E-3</v>
      </c>
      <c r="J409" s="2">
        <v>3.124E-3</v>
      </c>
      <c r="K409" s="2">
        <v>6.5579999999999996E-3</v>
      </c>
      <c r="L409" s="2">
        <v>0.24504400000000001</v>
      </c>
      <c r="M409" s="2">
        <v>0.34581899999999999</v>
      </c>
      <c r="N409" s="2">
        <v>8.0092289999999995</v>
      </c>
    </row>
    <row r="410" spans="1:14" x14ac:dyDescent="0.35">
      <c r="A410" s="2" t="s">
        <v>417</v>
      </c>
      <c r="B410" s="3">
        <f t="shared" si="6"/>
        <v>38777</v>
      </c>
      <c r="C410" s="2">
        <v>1.8138099999999999</v>
      </c>
      <c r="D410" s="2">
        <v>2.1797270000000002</v>
      </c>
      <c r="E410" s="2">
        <v>3.3618450000000002</v>
      </c>
      <c r="F410" s="2">
        <v>7.3619810000000001</v>
      </c>
      <c r="G410" s="2">
        <v>0.66492700000000005</v>
      </c>
      <c r="H410" s="2">
        <v>8.4018999999999996E-2</v>
      </c>
      <c r="I410" s="2">
        <v>7.4209999999999996E-3</v>
      </c>
      <c r="J410" s="2">
        <v>4.3270000000000001E-3</v>
      </c>
      <c r="K410" s="2">
        <v>8.0479999999999996E-3</v>
      </c>
      <c r="L410" s="2">
        <v>0.26361400000000001</v>
      </c>
      <c r="M410" s="2">
        <v>0.36742799999999998</v>
      </c>
      <c r="N410" s="2">
        <v>8.3999919999999992</v>
      </c>
    </row>
    <row r="411" spans="1:14" x14ac:dyDescent="0.35">
      <c r="A411" s="2" t="s">
        <v>418</v>
      </c>
      <c r="B411" s="3">
        <f t="shared" si="6"/>
        <v>38808</v>
      </c>
      <c r="C411" s="2">
        <v>1.602757</v>
      </c>
      <c r="D411" s="2">
        <v>1.723031</v>
      </c>
      <c r="E411" s="2">
        <v>3.1946500000000002</v>
      </c>
      <c r="F411" s="2">
        <v>6.5239440000000002</v>
      </c>
      <c r="G411" s="2">
        <v>0.60071399999999997</v>
      </c>
      <c r="H411" s="2">
        <v>9.7432000000000005E-2</v>
      </c>
      <c r="I411" s="2">
        <v>6.8690000000000001E-3</v>
      </c>
      <c r="J411" s="2">
        <v>4.8209999999999998E-3</v>
      </c>
      <c r="K411" s="2">
        <v>8.4340000000000005E-3</v>
      </c>
      <c r="L411" s="2">
        <v>0.25226500000000002</v>
      </c>
      <c r="M411" s="2">
        <v>0.36981999999999998</v>
      </c>
      <c r="N411" s="2">
        <v>7.4992660000000004</v>
      </c>
    </row>
    <row r="412" spans="1:14" x14ac:dyDescent="0.35">
      <c r="A412" s="2" t="s">
        <v>419</v>
      </c>
      <c r="B412" s="3">
        <f t="shared" si="6"/>
        <v>38838</v>
      </c>
      <c r="C412" s="2">
        <v>1.7656430000000001</v>
      </c>
      <c r="D412" s="2">
        <v>1.564935</v>
      </c>
      <c r="E412" s="2">
        <v>3.343931</v>
      </c>
      <c r="F412" s="2">
        <v>6.6780939999999998</v>
      </c>
      <c r="G412" s="2">
        <v>0.65506399999999998</v>
      </c>
      <c r="H412" s="2">
        <v>0.105153</v>
      </c>
      <c r="I412" s="2">
        <v>6.855E-3</v>
      </c>
      <c r="J412" s="2">
        <v>5.3680000000000004E-3</v>
      </c>
      <c r="K412" s="2">
        <v>8.3890000000000006E-3</v>
      </c>
      <c r="L412" s="2">
        <v>0.26785100000000001</v>
      </c>
      <c r="M412" s="2">
        <v>0.39361499999999999</v>
      </c>
      <c r="N412" s="2">
        <v>7.7317330000000002</v>
      </c>
    </row>
    <row r="413" spans="1:14" x14ac:dyDescent="0.35">
      <c r="A413" s="2" t="s">
        <v>420</v>
      </c>
      <c r="B413" s="3">
        <f t="shared" si="6"/>
        <v>38869</v>
      </c>
      <c r="C413" s="2">
        <v>1.903022</v>
      </c>
      <c r="D413" s="2">
        <v>1.588425</v>
      </c>
      <c r="E413" s="2">
        <v>3.3222139999999998</v>
      </c>
      <c r="F413" s="2">
        <v>6.819267</v>
      </c>
      <c r="G413" s="2">
        <v>0.71366499999999999</v>
      </c>
      <c r="H413" s="2">
        <v>0.101532</v>
      </c>
      <c r="I413" s="2">
        <v>7.1079999999999997E-3</v>
      </c>
      <c r="J413" s="2">
        <v>5.4099999999999999E-3</v>
      </c>
      <c r="K413" s="2">
        <v>7.0010000000000003E-3</v>
      </c>
      <c r="L413" s="2">
        <v>0.27163999999999999</v>
      </c>
      <c r="M413" s="2">
        <v>0.39269100000000001</v>
      </c>
      <c r="N413" s="2">
        <v>7.9304649999999999</v>
      </c>
    </row>
    <row r="414" spans="1:14" x14ac:dyDescent="0.35">
      <c r="A414" s="2" t="s">
        <v>421</v>
      </c>
      <c r="B414" s="3">
        <f t="shared" si="6"/>
        <v>38899</v>
      </c>
      <c r="C414" s="2">
        <v>2.1017579999999998</v>
      </c>
      <c r="D414" s="2">
        <v>1.8024119999999999</v>
      </c>
      <c r="E414" s="2">
        <v>3.3865280000000002</v>
      </c>
      <c r="F414" s="2">
        <v>7.2944240000000002</v>
      </c>
      <c r="G414" s="2">
        <v>0.75326599999999999</v>
      </c>
      <c r="H414" s="2">
        <v>8.6799000000000001E-2</v>
      </c>
      <c r="I414" s="2">
        <v>7.4209999999999996E-3</v>
      </c>
      <c r="J414" s="2">
        <v>5.64E-3</v>
      </c>
      <c r="K414" s="2">
        <v>6.6709999999999998E-3</v>
      </c>
      <c r="L414" s="2">
        <v>0.28020299999999998</v>
      </c>
      <c r="M414" s="2">
        <v>0.38673400000000002</v>
      </c>
      <c r="N414" s="2">
        <v>8.4448919999999994</v>
      </c>
    </row>
    <row r="415" spans="1:14" x14ac:dyDescent="0.35">
      <c r="A415" s="2" t="s">
        <v>422</v>
      </c>
      <c r="B415" s="3">
        <f t="shared" si="6"/>
        <v>38930</v>
      </c>
      <c r="C415" s="2">
        <v>2.123005</v>
      </c>
      <c r="D415" s="2">
        <v>1.79505</v>
      </c>
      <c r="E415" s="2">
        <v>3.5114860000000001</v>
      </c>
      <c r="F415" s="2">
        <v>7.4321390000000003</v>
      </c>
      <c r="G415" s="2">
        <v>0.75148800000000004</v>
      </c>
      <c r="H415" s="2">
        <v>7.4136999999999995E-2</v>
      </c>
      <c r="I415" s="2">
        <v>7.515E-3</v>
      </c>
      <c r="J415" s="2">
        <v>5.6569999999999997E-3</v>
      </c>
      <c r="K415" s="2">
        <v>5.6470000000000001E-3</v>
      </c>
      <c r="L415" s="2">
        <v>0.28274100000000002</v>
      </c>
      <c r="M415" s="2">
        <v>0.375697</v>
      </c>
      <c r="N415" s="2">
        <v>8.5698190000000007</v>
      </c>
    </row>
    <row r="416" spans="1:14" x14ac:dyDescent="0.35">
      <c r="A416" s="2" t="s">
        <v>423</v>
      </c>
      <c r="B416" s="3">
        <f t="shared" si="6"/>
        <v>38961</v>
      </c>
      <c r="C416" s="2">
        <v>1.8432090000000001</v>
      </c>
      <c r="D416" s="2">
        <v>1.497401</v>
      </c>
      <c r="E416" s="2">
        <v>3.2528450000000002</v>
      </c>
      <c r="F416" s="2">
        <v>6.6063020000000003</v>
      </c>
      <c r="G416" s="2">
        <v>0.69541299999999995</v>
      </c>
      <c r="H416" s="2">
        <v>5.8691E-2</v>
      </c>
      <c r="I416" s="2">
        <v>7.1770000000000002E-3</v>
      </c>
      <c r="J416" s="2">
        <v>5.0850000000000001E-3</v>
      </c>
      <c r="K416" s="2">
        <v>6.4120000000000002E-3</v>
      </c>
      <c r="L416" s="2">
        <v>0.27389599999999997</v>
      </c>
      <c r="M416" s="2">
        <v>0.35126099999999999</v>
      </c>
      <c r="N416" s="2">
        <v>7.6529790000000002</v>
      </c>
    </row>
    <row r="417" spans="1:14" x14ac:dyDescent="0.35">
      <c r="A417" s="2" t="s">
        <v>424</v>
      </c>
      <c r="B417" s="3">
        <f t="shared" si="6"/>
        <v>38991</v>
      </c>
      <c r="C417" s="2">
        <v>1.84049</v>
      </c>
      <c r="D417" s="2">
        <v>1.684294</v>
      </c>
      <c r="E417" s="2">
        <v>3.3841519999999998</v>
      </c>
      <c r="F417" s="2">
        <v>6.9216490000000004</v>
      </c>
      <c r="G417" s="2">
        <v>0.60011000000000003</v>
      </c>
      <c r="H417" s="2">
        <v>5.8192000000000001E-2</v>
      </c>
      <c r="I417" s="2">
        <v>7.4679999999999998E-3</v>
      </c>
      <c r="J417" s="2">
        <v>4.5770000000000003E-3</v>
      </c>
      <c r="K417" s="2">
        <v>8.3330000000000001E-3</v>
      </c>
      <c r="L417" s="2">
        <v>0.28245799999999999</v>
      </c>
      <c r="M417" s="2">
        <v>0.36102800000000002</v>
      </c>
      <c r="N417" s="2">
        <v>7.8839940000000004</v>
      </c>
    </row>
    <row r="418" spans="1:14" x14ac:dyDescent="0.35">
      <c r="A418" s="2" t="s">
        <v>425</v>
      </c>
      <c r="B418" s="3">
        <f t="shared" si="6"/>
        <v>39022</v>
      </c>
      <c r="C418" s="2">
        <v>1.807172</v>
      </c>
      <c r="D418" s="2">
        <v>1.8090250000000001</v>
      </c>
      <c r="E418" s="2">
        <v>3.2452999999999999</v>
      </c>
      <c r="F418" s="2">
        <v>6.8625160000000003</v>
      </c>
      <c r="G418" s="2">
        <v>0.640629</v>
      </c>
      <c r="H418" s="2">
        <v>6.9167000000000006E-2</v>
      </c>
      <c r="I418" s="2">
        <v>7.136E-3</v>
      </c>
      <c r="J418" s="2">
        <v>3.718E-3</v>
      </c>
      <c r="K418" s="2">
        <v>8.6680000000000004E-3</v>
      </c>
      <c r="L418" s="2">
        <v>0.27724900000000002</v>
      </c>
      <c r="M418" s="2">
        <v>0.36593799999999999</v>
      </c>
      <c r="N418" s="2">
        <v>7.8716720000000002</v>
      </c>
    </row>
    <row r="419" spans="1:14" x14ac:dyDescent="0.35">
      <c r="A419" s="2" t="s">
        <v>426</v>
      </c>
      <c r="B419" s="3">
        <f t="shared" si="6"/>
        <v>39052</v>
      </c>
      <c r="C419" s="2">
        <v>1.956143</v>
      </c>
      <c r="D419" s="2">
        <v>2.1757170000000001</v>
      </c>
      <c r="E419" s="2">
        <v>3.3671229999999999</v>
      </c>
      <c r="F419" s="2">
        <v>7.5018469999999997</v>
      </c>
      <c r="G419" s="2">
        <v>0.73555999999999999</v>
      </c>
      <c r="H419" s="2">
        <v>7.3685E-2</v>
      </c>
      <c r="I419" s="2">
        <v>7.5189999999999996E-3</v>
      </c>
      <c r="J419" s="2">
        <v>3.4870000000000001E-3</v>
      </c>
      <c r="K419" s="2">
        <v>8.4329999999999995E-3</v>
      </c>
      <c r="L419" s="2">
        <v>0.28995900000000002</v>
      </c>
      <c r="M419" s="2">
        <v>0.38308300000000001</v>
      </c>
      <c r="N419" s="2">
        <v>8.6280330000000003</v>
      </c>
    </row>
    <row r="420" spans="1:14" x14ac:dyDescent="0.35">
      <c r="A420" s="2" t="s">
        <v>427</v>
      </c>
      <c r="B420" s="3">
        <f t="shared" si="6"/>
        <v>39083</v>
      </c>
      <c r="C420" s="2">
        <v>1.991341</v>
      </c>
      <c r="D420" s="2">
        <v>2.5351849999999998</v>
      </c>
      <c r="E420" s="2">
        <v>3.3082940000000001</v>
      </c>
      <c r="F420" s="2">
        <v>7.838025</v>
      </c>
      <c r="G420" s="2">
        <v>0.77625100000000002</v>
      </c>
      <c r="H420" s="2">
        <v>8.8865E-2</v>
      </c>
      <c r="I420" s="2">
        <v>7.9109999999999996E-3</v>
      </c>
      <c r="J420" s="2">
        <v>3.016E-3</v>
      </c>
      <c r="K420" s="2">
        <v>8.3669999999999994E-3</v>
      </c>
      <c r="L420" s="2">
        <v>0.29568699999999998</v>
      </c>
      <c r="M420" s="2">
        <v>0.40384599999999998</v>
      </c>
      <c r="N420" s="2">
        <v>9.0246119999999994</v>
      </c>
    </row>
    <row r="421" spans="1:14" x14ac:dyDescent="0.35">
      <c r="A421" s="2" t="s">
        <v>428</v>
      </c>
      <c r="B421" s="3">
        <f t="shared" si="6"/>
        <v>39114</v>
      </c>
      <c r="C421" s="2">
        <v>1.834678</v>
      </c>
      <c r="D421" s="2">
        <v>2.6296089999999999</v>
      </c>
      <c r="E421" s="2">
        <v>3.1009929999999999</v>
      </c>
      <c r="F421" s="2">
        <v>7.566001</v>
      </c>
      <c r="G421" s="2">
        <v>0.68414299999999995</v>
      </c>
      <c r="H421" s="2">
        <v>6.3349000000000003E-2</v>
      </c>
      <c r="I421" s="2">
        <v>6.9829999999999996E-3</v>
      </c>
      <c r="J421" s="2">
        <v>3.2690000000000002E-3</v>
      </c>
      <c r="K421" s="2">
        <v>8.5979999999999997E-3</v>
      </c>
      <c r="L421" s="2">
        <v>0.26465</v>
      </c>
      <c r="M421" s="2">
        <v>0.34684900000000002</v>
      </c>
      <c r="N421" s="2">
        <v>8.6066739999999999</v>
      </c>
    </row>
    <row r="422" spans="1:14" x14ac:dyDescent="0.35">
      <c r="A422" s="2" t="s">
        <v>429</v>
      </c>
      <c r="B422" s="3">
        <f t="shared" si="6"/>
        <v>39142</v>
      </c>
      <c r="C422" s="2">
        <v>1.795345</v>
      </c>
      <c r="D422" s="2">
        <v>2.1797019999999998</v>
      </c>
      <c r="E422" s="2">
        <v>3.3235619999999999</v>
      </c>
      <c r="F422" s="2">
        <v>7.2974199999999998</v>
      </c>
      <c r="G422" s="2">
        <v>0.67449700000000001</v>
      </c>
      <c r="H422" s="2">
        <v>8.2446000000000005E-2</v>
      </c>
      <c r="I422" s="2">
        <v>7.5989999999999999E-3</v>
      </c>
      <c r="J422" s="2">
        <v>4.5789999999999997E-3</v>
      </c>
      <c r="K422" s="2">
        <v>1.0397E-2</v>
      </c>
      <c r="L422" s="2">
        <v>0.287435</v>
      </c>
      <c r="M422" s="2">
        <v>0.39245600000000003</v>
      </c>
      <c r="N422" s="2">
        <v>8.3705239999999996</v>
      </c>
    </row>
    <row r="423" spans="1:14" x14ac:dyDescent="0.35">
      <c r="A423" s="2" t="s">
        <v>430</v>
      </c>
      <c r="B423" s="3">
        <f t="shared" si="6"/>
        <v>39173</v>
      </c>
      <c r="C423" s="2">
        <v>1.664669</v>
      </c>
      <c r="D423" s="2">
        <v>1.8534820000000001</v>
      </c>
      <c r="E423" s="2">
        <v>3.2198950000000002</v>
      </c>
      <c r="F423" s="2">
        <v>6.7394920000000003</v>
      </c>
      <c r="G423" s="2">
        <v>0.60103499999999999</v>
      </c>
      <c r="H423" s="2">
        <v>8.1515000000000004E-2</v>
      </c>
      <c r="I423" s="2">
        <v>7.3289999999999996E-3</v>
      </c>
      <c r="J423" s="2">
        <v>5.0509999999999999E-3</v>
      </c>
      <c r="K423" s="2">
        <v>1.0822E-2</v>
      </c>
      <c r="L423" s="2">
        <v>0.27763900000000002</v>
      </c>
      <c r="M423" s="2">
        <v>0.382355</v>
      </c>
      <c r="N423" s="2">
        <v>7.732532</v>
      </c>
    </row>
    <row r="424" spans="1:14" x14ac:dyDescent="0.35">
      <c r="A424" s="2" t="s">
        <v>431</v>
      </c>
      <c r="B424" s="3">
        <f t="shared" si="6"/>
        <v>39203</v>
      </c>
      <c r="C424" s="2">
        <v>1.774994</v>
      </c>
      <c r="D424" s="2">
        <v>1.5984719999999999</v>
      </c>
      <c r="E424" s="2">
        <v>3.349831</v>
      </c>
      <c r="F424" s="2">
        <v>6.7260609999999996</v>
      </c>
      <c r="G424" s="2">
        <v>0.68204299999999995</v>
      </c>
      <c r="H424" s="2">
        <v>8.8872000000000007E-2</v>
      </c>
      <c r="I424" s="2">
        <v>7.4310000000000001E-3</v>
      </c>
      <c r="J424" s="2">
        <v>5.6579999999999998E-3</v>
      </c>
      <c r="K424" s="2">
        <v>1.0073E-2</v>
      </c>
      <c r="L424" s="2">
        <v>0.28536299999999998</v>
      </c>
      <c r="M424" s="2">
        <v>0.397397</v>
      </c>
      <c r="N424" s="2">
        <v>7.8173890000000004</v>
      </c>
    </row>
    <row r="425" spans="1:14" x14ac:dyDescent="0.35">
      <c r="A425" s="2" t="s">
        <v>432</v>
      </c>
      <c r="B425" s="3">
        <f t="shared" si="6"/>
        <v>39234</v>
      </c>
      <c r="C425" s="2">
        <v>1.9473259999999999</v>
      </c>
      <c r="D425" s="2">
        <v>1.592406</v>
      </c>
      <c r="E425" s="2">
        <v>3.2533059999999998</v>
      </c>
      <c r="F425" s="2">
        <v>6.7986069999999996</v>
      </c>
      <c r="G425" s="2">
        <v>0.72293399999999997</v>
      </c>
      <c r="H425" s="2">
        <v>7.7850000000000003E-2</v>
      </c>
      <c r="I425" s="2">
        <v>7.6030000000000004E-3</v>
      </c>
      <c r="J425" s="2">
        <v>5.7070000000000003E-3</v>
      </c>
      <c r="K425" s="2">
        <v>8.9409999999999993E-3</v>
      </c>
      <c r="L425" s="2">
        <v>0.28418399999999999</v>
      </c>
      <c r="M425" s="2">
        <v>0.38428499999999999</v>
      </c>
      <c r="N425" s="2">
        <v>7.9166920000000003</v>
      </c>
    </row>
    <row r="426" spans="1:14" x14ac:dyDescent="0.35">
      <c r="A426" s="2" t="s">
        <v>433</v>
      </c>
      <c r="B426" s="3">
        <f t="shared" si="6"/>
        <v>39264</v>
      </c>
      <c r="C426" s="2">
        <v>2.0829970000000002</v>
      </c>
      <c r="D426" s="2">
        <v>1.700412</v>
      </c>
      <c r="E426" s="2">
        <v>3.3640059999999998</v>
      </c>
      <c r="F426" s="2">
        <v>7.1459619999999999</v>
      </c>
      <c r="G426" s="2">
        <v>0.76295400000000002</v>
      </c>
      <c r="H426" s="2">
        <v>7.6693999999999998E-2</v>
      </c>
      <c r="I426" s="2">
        <v>7.757E-3</v>
      </c>
      <c r="J426" s="2">
        <v>5.9810000000000002E-3</v>
      </c>
      <c r="K426" s="2">
        <v>7.3639999999999999E-3</v>
      </c>
      <c r="L426" s="2">
        <v>0.29509200000000002</v>
      </c>
      <c r="M426" s="2">
        <v>0.39288899999999999</v>
      </c>
      <c r="N426" s="2">
        <v>8.3146679999999993</v>
      </c>
    </row>
    <row r="427" spans="1:14" x14ac:dyDescent="0.35">
      <c r="A427" s="2" t="s">
        <v>434</v>
      </c>
      <c r="B427" s="3">
        <f t="shared" si="6"/>
        <v>39295</v>
      </c>
      <c r="C427" s="2">
        <v>2.1335060000000001</v>
      </c>
      <c r="D427" s="2">
        <v>1.9423159999999999</v>
      </c>
      <c r="E427" s="2">
        <v>3.4169239999999999</v>
      </c>
      <c r="F427" s="2">
        <v>7.4951800000000004</v>
      </c>
      <c r="G427" s="2">
        <v>0.76308399999999998</v>
      </c>
      <c r="H427" s="2">
        <v>6.8037E-2</v>
      </c>
      <c r="I427" s="2">
        <v>7.7710000000000001E-3</v>
      </c>
      <c r="J427" s="2">
        <v>5.8859999999999997E-3</v>
      </c>
      <c r="K427" s="2">
        <v>9.2099999999999994E-3</v>
      </c>
      <c r="L427" s="2">
        <v>0.29574600000000001</v>
      </c>
      <c r="M427" s="2">
        <v>0.38665100000000002</v>
      </c>
      <c r="N427" s="2">
        <v>8.6568249999999995</v>
      </c>
    </row>
    <row r="428" spans="1:14" x14ac:dyDescent="0.35">
      <c r="A428" s="2" t="s">
        <v>435</v>
      </c>
      <c r="B428" s="3">
        <f t="shared" si="6"/>
        <v>39326</v>
      </c>
      <c r="C428" s="2">
        <v>1.9078189999999999</v>
      </c>
      <c r="D428" s="2">
        <v>1.6280349999999999</v>
      </c>
      <c r="E428" s="2">
        <v>3.1985030000000001</v>
      </c>
      <c r="F428" s="2">
        <v>6.737768</v>
      </c>
      <c r="G428" s="2">
        <v>0.70883200000000002</v>
      </c>
      <c r="H428" s="2">
        <v>5.0301999999999999E-2</v>
      </c>
      <c r="I428" s="2">
        <v>7.5329999999999998E-3</v>
      </c>
      <c r="J428" s="2">
        <v>5.3670000000000002E-3</v>
      </c>
      <c r="K428" s="2">
        <v>9.7809999999999998E-3</v>
      </c>
      <c r="L428" s="2">
        <v>0.28664000000000001</v>
      </c>
      <c r="M428" s="2">
        <v>0.35962300000000003</v>
      </c>
      <c r="N428" s="2">
        <v>7.8109380000000002</v>
      </c>
    </row>
    <row r="429" spans="1:14" x14ac:dyDescent="0.35">
      <c r="A429" s="2" t="s">
        <v>436</v>
      </c>
      <c r="B429" s="3">
        <f t="shared" si="6"/>
        <v>39356</v>
      </c>
      <c r="C429" s="2">
        <v>1.831655</v>
      </c>
      <c r="D429" s="2">
        <v>1.6661600000000001</v>
      </c>
      <c r="E429" s="2">
        <v>3.3093599999999999</v>
      </c>
      <c r="F429" s="2">
        <v>6.807023</v>
      </c>
      <c r="G429" s="2">
        <v>0.64706200000000003</v>
      </c>
      <c r="H429" s="2">
        <v>5.0485000000000002E-2</v>
      </c>
      <c r="I429" s="2">
        <v>7.8050000000000003E-3</v>
      </c>
      <c r="J429" s="2">
        <v>4.8479999999999999E-3</v>
      </c>
      <c r="K429" s="2">
        <v>1.1521E-2</v>
      </c>
      <c r="L429" s="2">
        <v>0.30238799999999999</v>
      </c>
      <c r="M429" s="2">
        <v>0.37704700000000002</v>
      </c>
      <c r="N429" s="2">
        <v>7.8379960000000004</v>
      </c>
    </row>
    <row r="430" spans="1:14" x14ac:dyDescent="0.35">
      <c r="A430" s="2" t="s">
        <v>437</v>
      </c>
      <c r="B430" s="3">
        <f t="shared" si="6"/>
        <v>39387</v>
      </c>
      <c r="C430" s="2">
        <v>1.8012189999999999</v>
      </c>
      <c r="D430" s="2">
        <v>1.877753</v>
      </c>
      <c r="E430" s="2">
        <v>3.1995610000000001</v>
      </c>
      <c r="F430" s="2">
        <v>6.8834340000000003</v>
      </c>
      <c r="G430" s="2">
        <v>0.68072900000000003</v>
      </c>
      <c r="H430" s="2">
        <v>5.3506999999999999E-2</v>
      </c>
      <c r="I430" s="2">
        <v>7.5100000000000002E-3</v>
      </c>
      <c r="J430" s="2">
        <v>3.9220000000000001E-3</v>
      </c>
      <c r="K430" s="2">
        <v>1.056E-2</v>
      </c>
      <c r="L430" s="2">
        <v>0.29600599999999999</v>
      </c>
      <c r="M430" s="2">
        <v>0.37150499999999997</v>
      </c>
      <c r="N430" s="2">
        <v>7.944312</v>
      </c>
    </row>
    <row r="431" spans="1:14" x14ac:dyDescent="0.35">
      <c r="A431" s="2" t="s">
        <v>438</v>
      </c>
      <c r="B431" s="3">
        <f t="shared" si="6"/>
        <v>39417</v>
      </c>
      <c r="C431" s="2">
        <v>1.983916</v>
      </c>
      <c r="D431" s="2">
        <v>2.4592260000000001</v>
      </c>
      <c r="E431" s="2">
        <v>3.3233809999999999</v>
      </c>
      <c r="F431" s="2">
        <v>7.7700579999999997</v>
      </c>
      <c r="G431" s="2">
        <v>0.755027</v>
      </c>
      <c r="H431" s="2">
        <v>6.2581999999999999E-2</v>
      </c>
      <c r="I431" s="2">
        <v>7.8100000000000001E-3</v>
      </c>
      <c r="J431" s="2">
        <v>3.6619999999999999E-3</v>
      </c>
      <c r="K431" s="2">
        <v>1.1908999999999999E-2</v>
      </c>
      <c r="L431" s="2">
        <v>0.31399500000000002</v>
      </c>
      <c r="M431" s="2">
        <v>0.39995700000000001</v>
      </c>
      <c r="N431" s="2">
        <v>8.9319509999999998</v>
      </c>
    </row>
    <row r="432" spans="1:14" x14ac:dyDescent="0.35">
      <c r="A432" s="2" t="s">
        <v>439</v>
      </c>
      <c r="B432" s="3">
        <f t="shared" si="6"/>
        <v>39448</v>
      </c>
      <c r="C432" s="2">
        <v>2.0256439999999998</v>
      </c>
      <c r="D432" s="2">
        <v>2.8021669999999999</v>
      </c>
      <c r="E432" s="2">
        <v>3.234632</v>
      </c>
      <c r="F432" s="2">
        <v>8.0662470000000006</v>
      </c>
      <c r="G432" s="2">
        <v>0.73931800000000003</v>
      </c>
      <c r="H432" s="2">
        <v>7.0898000000000003E-2</v>
      </c>
      <c r="I432" s="2">
        <v>8.038E-3</v>
      </c>
      <c r="J432" s="2">
        <v>3.2060000000000001E-3</v>
      </c>
      <c r="K432" s="2">
        <v>1.4579999999999999E-2</v>
      </c>
      <c r="L432" s="2">
        <v>0.32718799999999998</v>
      </c>
      <c r="M432" s="2">
        <v>0.42390899999999998</v>
      </c>
      <c r="N432" s="2">
        <v>9.2405690000000007</v>
      </c>
    </row>
    <row r="433" spans="1:14" x14ac:dyDescent="0.35">
      <c r="A433" s="2" t="s">
        <v>440</v>
      </c>
      <c r="B433" s="3">
        <f t="shared" si="6"/>
        <v>39479</v>
      </c>
      <c r="C433" s="2">
        <v>1.8668720000000001</v>
      </c>
      <c r="D433" s="2">
        <v>2.5653619999999999</v>
      </c>
      <c r="E433" s="2">
        <v>2.9828420000000002</v>
      </c>
      <c r="F433" s="2">
        <v>7.4169119999999999</v>
      </c>
      <c r="G433" s="2">
        <v>0.68074299999999999</v>
      </c>
      <c r="H433" s="2">
        <v>6.4107999999999998E-2</v>
      </c>
      <c r="I433" s="2">
        <v>7.3680000000000004E-3</v>
      </c>
      <c r="J433" s="2">
        <v>3.5179999999999999E-3</v>
      </c>
      <c r="K433" s="2">
        <v>1.3141999999999999E-2</v>
      </c>
      <c r="L433" s="2">
        <v>0.29999100000000001</v>
      </c>
      <c r="M433" s="2">
        <v>0.38812799999999997</v>
      </c>
      <c r="N433" s="2">
        <v>8.4962009999999992</v>
      </c>
    </row>
    <row r="434" spans="1:14" x14ac:dyDescent="0.35">
      <c r="A434" s="2" t="s">
        <v>441</v>
      </c>
      <c r="B434" s="3">
        <f t="shared" si="6"/>
        <v>39508</v>
      </c>
      <c r="C434" s="2">
        <v>1.801188</v>
      </c>
      <c r="D434" s="2">
        <v>2.333853</v>
      </c>
      <c r="E434" s="2">
        <v>3.161089</v>
      </c>
      <c r="F434" s="2">
        <v>7.303725</v>
      </c>
      <c r="G434" s="2">
        <v>0.67641700000000005</v>
      </c>
      <c r="H434" s="2">
        <v>7.3934E-2</v>
      </c>
      <c r="I434" s="2">
        <v>8.1810000000000008E-3</v>
      </c>
      <c r="J434" s="2">
        <v>4.9329999999999999E-3</v>
      </c>
      <c r="K434" s="2">
        <v>1.6316000000000001E-2</v>
      </c>
      <c r="L434" s="2">
        <v>0.31392199999999998</v>
      </c>
      <c r="M434" s="2">
        <v>0.41728700000000002</v>
      </c>
      <c r="N434" s="2">
        <v>8.4047499999999999</v>
      </c>
    </row>
    <row r="435" spans="1:14" x14ac:dyDescent="0.35">
      <c r="A435" s="2" t="s">
        <v>442</v>
      </c>
      <c r="B435" s="3">
        <f t="shared" si="6"/>
        <v>39539</v>
      </c>
      <c r="C435" s="2">
        <v>1.667478</v>
      </c>
      <c r="D435" s="2">
        <v>1.8679749999999999</v>
      </c>
      <c r="E435" s="2">
        <v>3.0740859999999999</v>
      </c>
      <c r="F435" s="2">
        <v>6.6171139999999999</v>
      </c>
      <c r="G435" s="2">
        <v>0.59924200000000005</v>
      </c>
      <c r="H435" s="2">
        <v>7.5861999999999999E-2</v>
      </c>
      <c r="I435" s="2">
        <v>7.9430000000000004E-3</v>
      </c>
      <c r="J435" s="2">
        <v>5.4780000000000002E-3</v>
      </c>
      <c r="K435" s="2">
        <v>1.7829000000000001E-2</v>
      </c>
      <c r="L435" s="2">
        <v>0.31324999999999997</v>
      </c>
      <c r="M435" s="2">
        <v>0.42036099999999998</v>
      </c>
      <c r="N435" s="2">
        <v>7.6460429999999997</v>
      </c>
    </row>
    <row r="436" spans="1:14" x14ac:dyDescent="0.35">
      <c r="A436" s="2" t="s">
        <v>443</v>
      </c>
      <c r="B436" s="3">
        <f t="shared" si="6"/>
        <v>39569</v>
      </c>
      <c r="C436" s="2">
        <v>1.754297</v>
      </c>
      <c r="D436" s="2">
        <v>1.6146590000000001</v>
      </c>
      <c r="E436" s="2">
        <v>3.1677919999999999</v>
      </c>
      <c r="F436" s="2">
        <v>6.5394909999999999</v>
      </c>
      <c r="G436" s="2">
        <v>0.67756000000000005</v>
      </c>
      <c r="H436" s="2">
        <v>9.2879000000000003E-2</v>
      </c>
      <c r="I436" s="2">
        <v>8.2089999999999993E-3</v>
      </c>
      <c r="J436" s="2">
        <v>6.0289999999999996E-3</v>
      </c>
      <c r="K436" s="2">
        <v>1.8221000000000001E-2</v>
      </c>
      <c r="L436" s="2">
        <v>0.32029600000000003</v>
      </c>
      <c r="M436" s="2">
        <v>0.44563399999999997</v>
      </c>
      <c r="N436" s="2">
        <v>7.6705730000000001</v>
      </c>
    </row>
    <row r="437" spans="1:14" x14ac:dyDescent="0.35">
      <c r="A437" s="2" t="s">
        <v>444</v>
      </c>
      <c r="B437" s="3">
        <f t="shared" si="6"/>
        <v>39600</v>
      </c>
      <c r="C437" s="2">
        <v>1.918698</v>
      </c>
      <c r="D437" s="2">
        <v>1.643025</v>
      </c>
      <c r="E437" s="2">
        <v>3.0476860000000001</v>
      </c>
      <c r="F437" s="2">
        <v>6.6183449999999997</v>
      </c>
      <c r="G437" s="2">
        <v>0.73497800000000002</v>
      </c>
      <c r="H437" s="2">
        <v>9.9553000000000003E-2</v>
      </c>
      <c r="I437" s="2">
        <v>8.0870000000000004E-3</v>
      </c>
      <c r="J437" s="2">
        <v>6.1809999999999999E-3</v>
      </c>
      <c r="K437" s="2">
        <v>1.7538999999999999E-2</v>
      </c>
      <c r="L437" s="2">
        <v>0.31178800000000001</v>
      </c>
      <c r="M437" s="2">
        <v>0.44314799999999999</v>
      </c>
      <c r="N437" s="2">
        <v>7.8058439999999996</v>
      </c>
    </row>
    <row r="438" spans="1:14" x14ac:dyDescent="0.35">
      <c r="A438" s="2" t="s">
        <v>445</v>
      </c>
      <c r="B438" s="3">
        <f t="shared" si="6"/>
        <v>39630</v>
      </c>
      <c r="C438" s="2">
        <v>2.0922749999999999</v>
      </c>
      <c r="D438" s="2">
        <v>1.7508269999999999</v>
      </c>
      <c r="E438" s="2">
        <v>3.125737</v>
      </c>
      <c r="F438" s="2">
        <v>6.9744739999999998</v>
      </c>
      <c r="G438" s="2">
        <v>0.77677499999999999</v>
      </c>
      <c r="H438" s="2">
        <v>8.7193999999999994E-2</v>
      </c>
      <c r="I438" s="2">
        <v>8.2760000000000004E-3</v>
      </c>
      <c r="J438" s="2">
        <v>6.4079999999999996E-3</v>
      </c>
      <c r="K438" s="2">
        <v>1.3677E-2</v>
      </c>
      <c r="L438" s="2">
        <v>0.33017999999999997</v>
      </c>
      <c r="M438" s="2">
        <v>0.44573499999999999</v>
      </c>
      <c r="N438" s="2">
        <v>8.2117009999999997</v>
      </c>
    </row>
    <row r="439" spans="1:14" x14ac:dyDescent="0.35">
      <c r="A439" s="2" t="s">
        <v>446</v>
      </c>
      <c r="B439" s="3">
        <f t="shared" si="6"/>
        <v>39661</v>
      </c>
      <c r="C439" s="2">
        <v>2.0456470000000002</v>
      </c>
      <c r="D439" s="2">
        <v>1.7237910000000001</v>
      </c>
      <c r="E439" s="2">
        <v>3.0703360000000002</v>
      </c>
      <c r="F439" s="2">
        <v>6.8405560000000003</v>
      </c>
      <c r="G439" s="2">
        <v>0.75899399999999995</v>
      </c>
      <c r="H439" s="2">
        <v>7.2433999999999998E-2</v>
      </c>
      <c r="I439" s="2">
        <v>8.2559999999999995E-3</v>
      </c>
      <c r="J439" s="2">
        <v>6.326E-3</v>
      </c>
      <c r="K439" s="2">
        <v>1.1138E-2</v>
      </c>
      <c r="L439" s="2">
        <v>0.33184000000000002</v>
      </c>
      <c r="M439" s="2">
        <v>0.42999399999999999</v>
      </c>
      <c r="N439" s="2">
        <v>8.0443580000000008</v>
      </c>
    </row>
    <row r="440" spans="1:14" x14ac:dyDescent="0.35">
      <c r="A440" s="2" t="s">
        <v>447</v>
      </c>
      <c r="B440" s="3">
        <f t="shared" si="6"/>
        <v>39692</v>
      </c>
      <c r="C440" s="2">
        <v>1.8362449999999999</v>
      </c>
      <c r="D440" s="2">
        <v>1.4948380000000001</v>
      </c>
      <c r="E440" s="2">
        <v>2.7714509999999999</v>
      </c>
      <c r="F440" s="2">
        <v>6.1046930000000001</v>
      </c>
      <c r="G440" s="2">
        <v>0.700847</v>
      </c>
      <c r="H440" s="2">
        <v>5.5199999999999999E-2</v>
      </c>
      <c r="I440" s="2">
        <v>7.9959999999999996E-3</v>
      </c>
      <c r="J440" s="2">
        <v>5.7580000000000001E-3</v>
      </c>
      <c r="K440" s="2">
        <v>1.0616E-2</v>
      </c>
      <c r="L440" s="2">
        <v>0.31973600000000002</v>
      </c>
      <c r="M440" s="2">
        <v>0.39930599999999999</v>
      </c>
      <c r="N440" s="2">
        <v>7.2152839999999996</v>
      </c>
    </row>
    <row r="441" spans="1:14" x14ac:dyDescent="0.35">
      <c r="A441" s="2" t="s">
        <v>448</v>
      </c>
      <c r="B441" s="3">
        <f t="shared" si="6"/>
        <v>39722</v>
      </c>
      <c r="C441" s="2">
        <v>1.736712</v>
      </c>
      <c r="D441" s="2">
        <v>1.6739949999999999</v>
      </c>
      <c r="E441" s="2">
        <v>3.1522039999999998</v>
      </c>
      <c r="F441" s="2">
        <v>6.5637949999999998</v>
      </c>
      <c r="G441" s="2">
        <v>0.65659800000000001</v>
      </c>
      <c r="H441" s="2">
        <v>5.2782999999999997E-2</v>
      </c>
      <c r="I441" s="2">
        <v>8.2699999999999996E-3</v>
      </c>
      <c r="J441" s="2">
        <v>5.1659999999999996E-3</v>
      </c>
      <c r="K441" s="2">
        <v>1.6229E-2</v>
      </c>
      <c r="L441" s="2">
        <v>0.33194600000000002</v>
      </c>
      <c r="M441" s="2">
        <v>0.41439300000000001</v>
      </c>
      <c r="N441" s="2">
        <v>7.6402669999999997</v>
      </c>
    </row>
    <row r="442" spans="1:14" x14ac:dyDescent="0.35">
      <c r="A442" s="2" t="s">
        <v>449</v>
      </c>
      <c r="B442" s="3">
        <f t="shared" si="6"/>
        <v>39753</v>
      </c>
      <c r="C442" s="2">
        <v>1.7411430000000001</v>
      </c>
      <c r="D442" s="2">
        <v>1.9136759999999999</v>
      </c>
      <c r="E442" s="2">
        <v>2.9326660000000002</v>
      </c>
      <c r="F442" s="2">
        <v>6.5888850000000003</v>
      </c>
      <c r="G442" s="2">
        <v>0.66274200000000005</v>
      </c>
      <c r="H442" s="2">
        <v>5.3459E-2</v>
      </c>
      <c r="I442" s="2">
        <v>7.9950000000000004E-3</v>
      </c>
      <c r="J442" s="2">
        <v>4.1669999999999997E-3</v>
      </c>
      <c r="K442" s="2">
        <v>1.7038000000000001E-2</v>
      </c>
      <c r="L442" s="2">
        <v>0.324878</v>
      </c>
      <c r="M442" s="2">
        <v>0.40753800000000001</v>
      </c>
      <c r="N442" s="2">
        <v>7.6633339999999999</v>
      </c>
    </row>
    <row r="443" spans="1:14" x14ac:dyDescent="0.35">
      <c r="A443" s="2" t="s">
        <v>450</v>
      </c>
      <c r="B443" s="3">
        <f t="shared" si="6"/>
        <v>39783</v>
      </c>
      <c r="C443" s="2">
        <v>1.9012370000000001</v>
      </c>
      <c r="D443" s="2">
        <v>2.4587859999999999</v>
      </c>
      <c r="E443" s="2">
        <v>3.048861</v>
      </c>
      <c r="F443" s="2">
        <v>7.4063100000000004</v>
      </c>
      <c r="G443" s="2">
        <v>0.76227800000000001</v>
      </c>
      <c r="H443" s="2">
        <v>7.1179000000000006E-2</v>
      </c>
      <c r="I443" s="2">
        <v>8.2159999999999993E-3</v>
      </c>
      <c r="J443" s="2">
        <v>3.9259999999999998E-3</v>
      </c>
      <c r="K443" s="2">
        <v>2.2572999999999999E-2</v>
      </c>
      <c r="L443" s="2">
        <v>0.32637699999999997</v>
      </c>
      <c r="M443" s="2">
        <v>0.43227100000000002</v>
      </c>
      <c r="N443" s="2">
        <v>8.6078039999999998</v>
      </c>
    </row>
    <row r="444" spans="1:14" x14ac:dyDescent="0.35">
      <c r="A444" s="2" t="s">
        <v>451</v>
      </c>
      <c r="B444" s="3">
        <f t="shared" si="6"/>
        <v>39814</v>
      </c>
      <c r="C444" s="2">
        <v>1.9039919999999999</v>
      </c>
      <c r="D444" s="2">
        <v>2.79216</v>
      </c>
      <c r="E444" s="2">
        <v>3.027863</v>
      </c>
      <c r="F444" s="2">
        <v>7.722378</v>
      </c>
      <c r="G444" s="2">
        <v>0.775038</v>
      </c>
      <c r="H444" s="2">
        <v>8.0148999999999998E-2</v>
      </c>
      <c r="I444" s="2">
        <v>8.9580000000000007E-3</v>
      </c>
      <c r="J444" s="2">
        <v>3.2469999999999999E-3</v>
      </c>
      <c r="K444" s="2">
        <v>2.0303999999999999E-2</v>
      </c>
      <c r="L444" s="2">
        <v>0.31371500000000002</v>
      </c>
      <c r="M444" s="2">
        <v>0.426373</v>
      </c>
      <c r="N444" s="2">
        <v>8.9306699999999992</v>
      </c>
    </row>
    <row r="445" spans="1:14" x14ac:dyDescent="0.35">
      <c r="A445" s="2" t="s">
        <v>452</v>
      </c>
      <c r="B445" s="3">
        <f t="shared" si="6"/>
        <v>39845</v>
      </c>
      <c r="C445" s="2">
        <v>1.5816589999999999</v>
      </c>
      <c r="D445" s="2">
        <v>2.3847939999999999</v>
      </c>
      <c r="E445" s="2">
        <v>2.6844510000000001</v>
      </c>
      <c r="F445" s="2">
        <v>6.6498059999999999</v>
      </c>
      <c r="G445" s="2">
        <v>0.67175200000000002</v>
      </c>
      <c r="H445" s="2">
        <v>6.0775000000000003E-2</v>
      </c>
      <c r="I445" s="2">
        <v>8.1040000000000001E-3</v>
      </c>
      <c r="J445" s="2">
        <v>3.578E-3</v>
      </c>
      <c r="K445" s="2">
        <v>1.9968E-2</v>
      </c>
      <c r="L445" s="2">
        <v>0.28614099999999998</v>
      </c>
      <c r="M445" s="2">
        <v>0.37856499999999998</v>
      </c>
      <c r="N445" s="2">
        <v>7.7081559999999998</v>
      </c>
    </row>
    <row r="446" spans="1:14" x14ac:dyDescent="0.35">
      <c r="A446" s="2" t="s">
        <v>453</v>
      </c>
      <c r="B446" s="3">
        <f t="shared" si="6"/>
        <v>39873</v>
      </c>
      <c r="C446" s="2">
        <v>1.5361260000000001</v>
      </c>
      <c r="D446" s="2">
        <v>2.2189830000000001</v>
      </c>
      <c r="E446" s="2">
        <v>2.9610439999999998</v>
      </c>
      <c r="F446" s="2">
        <v>6.7147180000000004</v>
      </c>
      <c r="G446" s="2">
        <v>0.70326900000000003</v>
      </c>
      <c r="H446" s="2">
        <v>7.4475E-2</v>
      </c>
      <c r="I446" s="2">
        <v>8.9980000000000008E-3</v>
      </c>
      <c r="J446" s="2">
        <v>5.0530000000000002E-3</v>
      </c>
      <c r="K446" s="2">
        <v>2.4222E-2</v>
      </c>
      <c r="L446" s="2">
        <v>0.31733899999999998</v>
      </c>
      <c r="M446" s="2">
        <v>0.430087</v>
      </c>
      <c r="N446" s="2">
        <v>7.8523120000000004</v>
      </c>
    </row>
    <row r="447" spans="1:14" x14ac:dyDescent="0.35">
      <c r="A447" s="2" t="s">
        <v>454</v>
      </c>
      <c r="B447" s="3">
        <f t="shared" si="6"/>
        <v>39904</v>
      </c>
      <c r="C447" s="2">
        <v>1.4217310000000001</v>
      </c>
      <c r="D447" s="2">
        <v>1.779264</v>
      </c>
      <c r="E447" s="2">
        <v>2.8531520000000001</v>
      </c>
      <c r="F447" s="2">
        <v>6.0516529999999999</v>
      </c>
      <c r="G447" s="2">
        <v>0.62135300000000004</v>
      </c>
      <c r="H447" s="2">
        <v>8.7927000000000005E-2</v>
      </c>
      <c r="I447" s="2">
        <v>8.5839999999999996E-3</v>
      </c>
      <c r="J447" s="2">
        <v>5.6140000000000001E-3</v>
      </c>
      <c r="K447" s="2">
        <v>2.5446E-2</v>
      </c>
      <c r="L447" s="2">
        <v>0.30744199999999999</v>
      </c>
      <c r="M447" s="2">
        <v>0.43501200000000001</v>
      </c>
      <c r="N447" s="2">
        <v>7.1141779999999999</v>
      </c>
    </row>
    <row r="448" spans="1:14" x14ac:dyDescent="0.35">
      <c r="A448" s="2" t="s">
        <v>455</v>
      </c>
      <c r="B448" s="3">
        <f t="shared" si="6"/>
        <v>39934</v>
      </c>
      <c r="C448" s="2">
        <v>1.4857880000000001</v>
      </c>
      <c r="D448" s="2">
        <v>1.536921</v>
      </c>
      <c r="E448" s="2">
        <v>2.8684599999999998</v>
      </c>
      <c r="F448" s="2">
        <v>5.8895150000000003</v>
      </c>
      <c r="G448" s="2">
        <v>0.683971</v>
      </c>
      <c r="H448" s="2">
        <v>0.100858</v>
      </c>
      <c r="I448" s="2">
        <v>8.7749999999999998E-3</v>
      </c>
      <c r="J448" s="2">
        <v>6.1999999999999998E-3</v>
      </c>
      <c r="K448" s="2">
        <v>2.1366E-2</v>
      </c>
      <c r="L448" s="2">
        <v>0.32327400000000001</v>
      </c>
      <c r="M448" s="2">
        <v>0.46047300000000002</v>
      </c>
      <c r="N448" s="2">
        <v>7.0432959999999998</v>
      </c>
    </row>
    <row r="449" spans="1:14" x14ac:dyDescent="0.35">
      <c r="A449" s="2" t="s">
        <v>456</v>
      </c>
      <c r="B449" s="3">
        <f t="shared" si="6"/>
        <v>39965</v>
      </c>
      <c r="C449" s="2">
        <v>1.654827</v>
      </c>
      <c r="D449" s="2">
        <v>1.561083</v>
      </c>
      <c r="E449" s="2">
        <v>2.8884949999999998</v>
      </c>
      <c r="F449" s="2">
        <v>6.1028560000000001</v>
      </c>
      <c r="G449" s="2">
        <v>0.729356</v>
      </c>
      <c r="H449" s="2">
        <v>9.9743999999999999E-2</v>
      </c>
      <c r="I449" s="2">
        <v>8.5380000000000005E-3</v>
      </c>
      <c r="J449" s="2">
        <v>6.2290000000000002E-3</v>
      </c>
      <c r="K449" s="2">
        <v>1.9105E-2</v>
      </c>
      <c r="L449" s="2">
        <v>0.32370700000000002</v>
      </c>
      <c r="M449" s="2">
        <v>0.45732299999999998</v>
      </c>
      <c r="N449" s="2">
        <v>7.3001269999999998</v>
      </c>
    </row>
    <row r="450" spans="1:14" x14ac:dyDescent="0.35">
      <c r="A450" s="2" t="s">
        <v>457</v>
      </c>
      <c r="B450" s="3">
        <f t="shared" si="6"/>
        <v>39995</v>
      </c>
      <c r="C450" s="2">
        <v>1.7595890000000001</v>
      </c>
      <c r="D450" s="2">
        <v>1.6948780000000001</v>
      </c>
      <c r="E450" s="2">
        <v>2.9325199999999998</v>
      </c>
      <c r="F450" s="2">
        <v>6.3851240000000002</v>
      </c>
      <c r="G450" s="2">
        <v>0.76297300000000001</v>
      </c>
      <c r="H450" s="2">
        <v>7.9788999999999999E-2</v>
      </c>
      <c r="I450" s="2">
        <v>8.8439999999999994E-3</v>
      </c>
      <c r="J450" s="2">
        <v>6.5820000000000002E-3</v>
      </c>
      <c r="K450" s="2">
        <v>1.6906000000000001E-2</v>
      </c>
      <c r="L450" s="2">
        <v>0.34377799999999997</v>
      </c>
      <c r="M450" s="2">
        <v>0.455899</v>
      </c>
      <c r="N450" s="2">
        <v>7.6179139999999999</v>
      </c>
    </row>
    <row r="451" spans="1:14" x14ac:dyDescent="0.35">
      <c r="A451" s="2" t="s">
        <v>458</v>
      </c>
      <c r="B451" s="3">
        <f t="shared" si="6"/>
        <v>40026</v>
      </c>
      <c r="C451" s="2">
        <v>1.810859</v>
      </c>
      <c r="D451" s="2">
        <v>1.7750760000000001</v>
      </c>
      <c r="E451" s="2">
        <v>2.9832969999999999</v>
      </c>
      <c r="F451" s="2">
        <v>6.5659020000000003</v>
      </c>
      <c r="G451" s="2">
        <v>0.755606</v>
      </c>
      <c r="H451" s="2">
        <v>6.6808000000000006E-2</v>
      </c>
      <c r="I451" s="2">
        <v>8.8299999999999993E-3</v>
      </c>
      <c r="J451" s="2">
        <v>6.5009999999999998E-3</v>
      </c>
      <c r="K451" s="2">
        <v>1.8644999999999998E-2</v>
      </c>
      <c r="L451" s="2">
        <v>0.34890100000000002</v>
      </c>
      <c r="M451" s="2">
        <v>0.44968599999999997</v>
      </c>
      <c r="N451" s="2">
        <v>7.7864639999999996</v>
      </c>
    </row>
    <row r="452" spans="1:14" x14ac:dyDescent="0.35">
      <c r="A452" s="2" t="s">
        <v>459</v>
      </c>
      <c r="B452" s="3">
        <f t="shared" si="6"/>
        <v>40057</v>
      </c>
      <c r="C452" s="2">
        <v>1.5547359999999999</v>
      </c>
      <c r="D452" s="2">
        <v>1.608916</v>
      </c>
      <c r="E452" s="2">
        <v>2.8343240000000001</v>
      </c>
      <c r="F452" s="2">
        <v>5.9962109999999997</v>
      </c>
      <c r="G452" s="2">
        <v>0.68769800000000003</v>
      </c>
      <c r="H452" s="2">
        <v>5.9228000000000003E-2</v>
      </c>
      <c r="I452" s="2">
        <v>8.5649999999999997E-3</v>
      </c>
      <c r="J452" s="2">
        <v>5.8919999999999997E-3</v>
      </c>
      <c r="K452" s="2">
        <v>1.5868E-2</v>
      </c>
      <c r="L452" s="2">
        <v>0.33068199999999998</v>
      </c>
      <c r="M452" s="2">
        <v>0.420236</v>
      </c>
      <c r="N452" s="2">
        <v>7.1146859999999998</v>
      </c>
    </row>
    <row r="453" spans="1:14" x14ac:dyDescent="0.35">
      <c r="A453" s="2" t="s">
        <v>460</v>
      </c>
      <c r="B453" s="3">
        <f t="shared" si="6"/>
        <v>40087</v>
      </c>
      <c r="C453" s="2">
        <v>1.579969</v>
      </c>
      <c r="D453" s="2">
        <v>1.7021219999999999</v>
      </c>
      <c r="E453" s="2">
        <v>2.9377710000000001</v>
      </c>
      <c r="F453" s="2">
        <v>6.2162829999999998</v>
      </c>
      <c r="G453" s="2">
        <v>0.60684099999999996</v>
      </c>
      <c r="H453" s="2">
        <v>6.7185999999999996E-2</v>
      </c>
      <c r="I453" s="2">
        <v>8.7270000000000004E-3</v>
      </c>
      <c r="J453" s="2">
        <v>5.3070000000000001E-3</v>
      </c>
      <c r="K453" s="2">
        <v>2.3248000000000001E-2</v>
      </c>
      <c r="L453" s="2">
        <v>0.34700900000000001</v>
      </c>
      <c r="M453" s="2">
        <v>0.45147700000000002</v>
      </c>
      <c r="N453" s="2">
        <v>7.2860420000000001</v>
      </c>
    </row>
    <row r="454" spans="1:14" x14ac:dyDescent="0.35">
      <c r="A454" s="2" t="s">
        <v>461</v>
      </c>
      <c r="B454" s="3">
        <f t="shared" si="6"/>
        <v>40118</v>
      </c>
      <c r="C454" s="2">
        <v>1.549706</v>
      </c>
      <c r="D454" s="2">
        <v>1.814114</v>
      </c>
      <c r="E454" s="2">
        <v>2.8111000000000002</v>
      </c>
      <c r="F454" s="2">
        <v>6.1739660000000001</v>
      </c>
      <c r="G454" s="2">
        <v>0.61780500000000005</v>
      </c>
      <c r="H454" s="2">
        <v>7.1678000000000006E-2</v>
      </c>
      <c r="I454" s="2">
        <v>8.7580000000000002E-3</v>
      </c>
      <c r="J454" s="2">
        <v>4.3E-3</v>
      </c>
      <c r="K454" s="2">
        <v>2.3458E-2</v>
      </c>
      <c r="L454" s="2">
        <v>0.343246</v>
      </c>
      <c r="M454" s="2">
        <v>0.45144099999999998</v>
      </c>
      <c r="N454" s="2">
        <v>7.2519030000000004</v>
      </c>
    </row>
    <row r="455" spans="1:14" x14ac:dyDescent="0.35">
      <c r="A455" s="2" t="s">
        <v>462</v>
      </c>
      <c r="B455" s="3">
        <f t="shared" si="6"/>
        <v>40148</v>
      </c>
      <c r="C455" s="2">
        <v>1.8522240000000001</v>
      </c>
      <c r="D455" s="2">
        <v>2.5476290000000001</v>
      </c>
      <c r="E455" s="2">
        <v>2.9966659999999998</v>
      </c>
      <c r="F455" s="2">
        <v>7.3940650000000003</v>
      </c>
      <c r="G455" s="2">
        <v>0.73955800000000005</v>
      </c>
      <c r="H455" s="2">
        <v>8.4377999999999995E-2</v>
      </c>
      <c r="I455" s="2">
        <v>9.2280000000000001E-3</v>
      </c>
      <c r="J455" s="2">
        <v>4.0229999999999997E-3</v>
      </c>
      <c r="K455" s="2">
        <v>2.3563000000000001E-2</v>
      </c>
      <c r="L455" s="2">
        <v>0.35478199999999999</v>
      </c>
      <c r="M455" s="2">
        <v>0.47597499999999998</v>
      </c>
      <c r="N455" s="2">
        <v>8.6206800000000001</v>
      </c>
    </row>
    <row r="456" spans="1:14" x14ac:dyDescent="0.35">
      <c r="A456" s="2" t="s">
        <v>463</v>
      </c>
      <c r="B456" s="3">
        <f t="shared" si="6"/>
        <v>40179</v>
      </c>
      <c r="C456" s="2">
        <v>1.9173309999999999</v>
      </c>
      <c r="D456" s="2">
        <v>2.86903</v>
      </c>
      <c r="E456" s="2">
        <v>2.8924479999999999</v>
      </c>
      <c r="F456" s="2">
        <v>7.6745960000000002</v>
      </c>
      <c r="G456" s="2">
        <v>0.75849500000000003</v>
      </c>
      <c r="H456" s="2">
        <v>7.6370999999999994E-2</v>
      </c>
      <c r="I456" s="2">
        <v>9.5289999999999993E-3</v>
      </c>
      <c r="J456" s="2">
        <v>3.4849999999999998E-3</v>
      </c>
      <c r="K456" s="2">
        <v>2.3387000000000002E-2</v>
      </c>
      <c r="L456" s="2">
        <v>0.36729400000000001</v>
      </c>
      <c r="M456" s="2">
        <v>0.48006700000000002</v>
      </c>
      <c r="N456" s="2">
        <v>8.9272829999999992</v>
      </c>
    </row>
    <row r="457" spans="1:14" x14ac:dyDescent="0.35">
      <c r="A457" s="2" t="s">
        <v>464</v>
      </c>
      <c r="B457" s="3">
        <f t="shared" si="6"/>
        <v>40210</v>
      </c>
      <c r="C457" s="2">
        <v>1.7088410000000001</v>
      </c>
      <c r="D457" s="2">
        <v>2.533045</v>
      </c>
      <c r="E457" s="2">
        <v>2.6446360000000002</v>
      </c>
      <c r="F457" s="2">
        <v>6.8904719999999999</v>
      </c>
      <c r="G457" s="2">
        <v>0.68194500000000002</v>
      </c>
      <c r="H457" s="2">
        <v>7.0251999999999995E-2</v>
      </c>
      <c r="I457" s="2">
        <v>8.5190000000000005E-3</v>
      </c>
      <c r="J457" s="2">
        <v>3.833E-3</v>
      </c>
      <c r="K457" s="2">
        <v>1.8533000000000001E-2</v>
      </c>
      <c r="L457" s="2">
        <v>0.34211599999999998</v>
      </c>
      <c r="M457" s="2">
        <v>0.44325399999999998</v>
      </c>
      <c r="N457" s="2">
        <v>8.0272319999999997</v>
      </c>
    </row>
    <row r="458" spans="1:14" x14ac:dyDescent="0.35">
      <c r="A458" s="2" t="s">
        <v>465</v>
      </c>
      <c r="B458" s="3">
        <f t="shared" si="6"/>
        <v>40238</v>
      </c>
      <c r="C458" s="2">
        <v>1.6381650000000001</v>
      </c>
      <c r="D458" s="2">
        <v>2.1867109999999998</v>
      </c>
      <c r="E458" s="2">
        <v>2.9889860000000001</v>
      </c>
      <c r="F458" s="2">
        <v>6.8161100000000001</v>
      </c>
      <c r="G458" s="2">
        <v>0.675562</v>
      </c>
      <c r="H458" s="2">
        <v>7.1262000000000006E-2</v>
      </c>
      <c r="I458" s="2">
        <v>9.5119999999999996E-3</v>
      </c>
      <c r="J458" s="2">
        <v>5.3860000000000002E-3</v>
      </c>
      <c r="K458" s="2">
        <v>2.9305999999999999E-2</v>
      </c>
      <c r="L458" s="2">
        <v>0.374892</v>
      </c>
      <c r="M458" s="2">
        <v>0.49035699999999999</v>
      </c>
      <c r="N458" s="2">
        <v>7.9924330000000001</v>
      </c>
    </row>
    <row r="459" spans="1:14" x14ac:dyDescent="0.35">
      <c r="A459" s="2" t="s">
        <v>466</v>
      </c>
      <c r="B459" s="3">
        <f t="shared" si="6"/>
        <v>40269</v>
      </c>
      <c r="C459" s="2">
        <v>1.446342</v>
      </c>
      <c r="D459" s="2">
        <v>1.725374</v>
      </c>
      <c r="E459" s="2">
        <v>2.9060049999999999</v>
      </c>
      <c r="F459" s="2">
        <v>6.0782809999999996</v>
      </c>
      <c r="G459" s="2">
        <v>0.60215099999999999</v>
      </c>
      <c r="H459" s="2">
        <v>6.5157999999999994E-2</v>
      </c>
      <c r="I459" s="2">
        <v>9.1219999999999999E-3</v>
      </c>
      <c r="J459" s="2">
        <v>6.0330000000000002E-3</v>
      </c>
      <c r="K459" s="2">
        <v>3.3315999999999998E-2</v>
      </c>
      <c r="L459" s="2">
        <v>0.36558200000000002</v>
      </c>
      <c r="M459" s="2">
        <v>0.47921200000000003</v>
      </c>
      <c r="N459" s="2">
        <v>7.1685420000000004</v>
      </c>
    </row>
    <row r="460" spans="1:14" x14ac:dyDescent="0.35">
      <c r="A460" s="2" t="s">
        <v>467</v>
      </c>
      <c r="B460" s="3">
        <f t="shared" si="6"/>
        <v>40299</v>
      </c>
      <c r="C460" s="2">
        <v>1.6208050000000001</v>
      </c>
      <c r="D460" s="2">
        <v>1.6489050000000001</v>
      </c>
      <c r="E460" s="2">
        <v>2.9618549999999999</v>
      </c>
      <c r="F460" s="2">
        <v>6.2335750000000001</v>
      </c>
      <c r="G460" s="2">
        <v>0.69671300000000003</v>
      </c>
      <c r="H460" s="2">
        <v>8.5569999999999993E-2</v>
      </c>
      <c r="I460" s="2">
        <v>9.5250000000000005E-3</v>
      </c>
      <c r="J460" s="2">
        <v>6.7600000000000004E-3</v>
      </c>
      <c r="K460" s="2">
        <v>2.9676000000000001E-2</v>
      </c>
      <c r="L460" s="2">
        <v>0.374413</v>
      </c>
      <c r="M460" s="2">
        <v>0.50594499999999998</v>
      </c>
      <c r="N460" s="2">
        <v>7.440747</v>
      </c>
    </row>
    <row r="461" spans="1:14" x14ac:dyDescent="0.35">
      <c r="A461" s="2" t="s">
        <v>468</v>
      </c>
      <c r="B461" s="3">
        <f t="shared" ref="B461:B524" si="7">DATEVALUE(MID(A461, 6, 20) &amp; " 1, " &amp; LEFT(A461, 4))</f>
        <v>40330</v>
      </c>
      <c r="C461" s="2">
        <v>1.8475809999999999</v>
      </c>
      <c r="D461" s="2">
        <v>1.6821360000000001</v>
      </c>
      <c r="E461" s="2">
        <v>2.9737830000000001</v>
      </c>
      <c r="F461" s="2">
        <v>6.5045830000000002</v>
      </c>
      <c r="G461" s="2">
        <v>0.71388499999999999</v>
      </c>
      <c r="H461" s="2">
        <v>0.10186099999999999</v>
      </c>
      <c r="I461" s="2">
        <v>9.2020000000000001E-3</v>
      </c>
      <c r="J461" s="2">
        <v>6.8950000000000001E-3</v>
      </c>
      <c r="K461" s="2">
        <v>2.7463000000000001E-2</v>
      </c>
      <c r="L461" s="2">
        <v>0.37447999999999998</v>
      </c>
      <c r="M461" s="2">
        <v>0.51990099999999995</v>
      </c>
      <c r="N461" s="2">
        <v>7.7468849999999998</v>
      </c>
    </row>
    <row r="462" spans="1:14" x14ac:dyDescent="0.35">
      <c r="A462" s="2" t="s">
        <v>469</v>
      </c>
      <c r="B462" s="3">
        <f t="shared" si="7"/>
        <v>40360</v>
      </c>
      <c r="C462" s="2">
        <v>1.9985679999999999</v>
      </c>
      <c r="D462" s="2">
        <v>1.862228</v>
      </c>
      <c r="E462" s="2">
        <v>3.0260820000000002</v>
      </c>
      <c r="F462" s="2">
        <v>6.8870040000000001</v>
      </c>
      <c r="G462" s="2">
        <v>0.75163999999999997</v>
      </c>
      <c r="H462" s="2">
        <v>8.3651000000000003E-2</v>
      </c>
      <c r="I462" s="2">
        <v>9.3989999999999994E-3</v>
      </c>
      <c r="J462" s="2">
        <v>7.1580000000000003E-3</v>
      </c>
      <c r="K462" s="2">
        <v>2.2942000000000001E-2</v>
      </c>
      <c r="L462" s="2">
        <v>0.38587500000000002</v>
      </c>
      <c r="M462" s="2">
        <v>0.50902499999999995</v>
      </c>
      <c r="N462" s="2">
        <v>8.1572650000000007</v>
      </c>
    </row>
    <row r="463" spans="1:14" x14ac:dyDescent="0.35">
      <c r="A463" s="2" t="s">
        <v>470</v>
      </c>
      <c r="B463" s="3">
        <f t="shared" si="7"/>
        <v>40391</v>
      </c>
      <c r="C463" s="2">
        <v>1.99481</v>
      </c>
      <c r="D463" s="2">
        <v>1.9164840000000001</v>
      </c>
      <c r="E463" s="2">
        <v>3.087218</v>
      </c>
      <c r="F463" s="2">
        <v>6.9999450000000003</v>
      </c>
      <c r="G463" s="2">
        <v>0.74809300000000001</v>
      </c>
      <c r="H463" s="2">
        <v>6.8647E-2</v>
      </c>
      <c r="I463" s="2">
        <v>9.4780000000000003E-3</v>
      </c>
      <c r="J463" s="2">
        <v>7.0720000000000002E-3</v>
      </c>
      <c r="K463" s="2">
        <v>2.2811999999999999E-2</v>
      </c>
      <c r="L463" s="2">
        <v>0.38750099999999998</v>
      </c>
      <c r="M463" s="2">
        <v>0.49551099999999998</v>
      </c>
      <c r="N463" s="2">
        <v>8.2497539999999994</v>
      </c>
    </row>
    <row r="464" spans="1:14" x14ac:dyDescent="0.35">
      <c r="A464" s="2" t="s">
        <v>471</v>
      </c>
      <c r="B464" s="3">
        <f t="shared" si="7"/>
        <v>40422</v>
      </c>
      <c r="C464" s="2">
        <v>1.696615</v>
      </c>
      <c r="D464" s="2">
        <v>1.6696629999999999</v>
      </c>
      <c r="E464" s="2">
        <v>2.9519030000000002</v>
      </c>
      <c r="F464" s="2">
        <v>6.3176269999999999</v>
      </c>
      <c r="G464" s="2">
        <v>0.72506800000000005</v>
      </c>
      <c r="H464" s="2">
        <v>5.8909000000000003E-2</v>
      </c>
      <c r="I464" s="2">
        <v>9.1640000000000003E-3</v>
      </c>
      <c r="J464" s="2">
        <v>6.4330000000000003E-3</v>
      </c>
      <c r="K464" s="2">
        <v>2.4244000000000002E-2</v>
      </c>
      <c r="L464" s="2">
        <v>0.37408599999999997</v>
      </c>
      <c r="M464" s="2">
        <v>0.47283599999999998</v>
      </c>
      <c r="N464" s="2">
        <v>7.5173079999999999</v>
      </c>
    </row>
    <row r="465" spans="1:14" x14ac:dyDescent="0.35">
      <c r="A465" s="2" t="s">
        <v>472</v>
      </c>
      <c r="B465" s="3">
        <f t="shared" si="7"/>
        <v>40452</v>
      </c>
      <c r="C465" s="2">
        <v>1.52186</v>
      </c>
      <c r="D465" s="2">
        <v>1.69746</v>
      </c>
      <c r="E465" s="2">
        <v>2.9565269999999999</v>
      </c>
      <c r="F465" s="2">
        <v>6.173845</v>
      </c>
      <c r="G465" s="2">
        <v>0.65587200000000001</v>
      </c>
      <c r="H465" s="2">
        <v>6.0333999999999999E-2</v>
      </c>
      <c r="I465" s="2">
        <v>9.2230000000000003E-3</v>
      </c>
      <c r="J465" s="2">
        <v>5.6930000000000001E-3</v>
      </c>
      <c r="K465" s="2">
        <v>2.7104E-2</v>
      </c>
      <c r="L465" s="2">
        <v>0.38398300000000002</v>
      </c>
      <c r="M465" s="2">
        <v>0.48633700000000002</v>
      </c>
      <c r="N465" s="2">
        <v>7.3175290000000004</v>
      </c>
    </row>
    <row r="466" spans="1:14" x14ac:dyDescent="0.35">
      <c r="A466" s="2" t="s">
        <v>473</v>
      </c>
      <c r="B466" s="3">
        <f t="shared" si="7"/>
        <v>40483</v>
      </c>
      <c r="C466" s="2">
        <v>1.5637129999999999</v>
      </c>
      <c r="D466" s="2">
        <v>2.0130949999999999</v>
      </c>
      <c r="E466" s="2">
        <v>2.8679649999999999</v>
      </c>
      <c r="F466" s="2">
        <v>6.4390270000000003</v>
      </c>
      <c r="G466" s="2">
        <v>0.65487200000000001</v>
      </c>
      <c r="H466" s="2">
        <v>6.6743999999999998E-2</v>
      </c>
      <c r="I466" s="2">
        <v>9.1629999999999993E-3</v>
      </c>
      <c r="J466" s="2">
        <v>4.7210000000000004E-3</v>
      </c>
      <c r="K466" s="2">
        <v>3.3258999999999997E-2</v>
      </c>
      <c r="L466" s="2">
        <v>0.38009500000000002</v>
      </c>
      <c r="M466" s="2">
        <v>0.49398199999999998</v>
      </c>
      <c r="N466" s="2">
        <v>7.5905889999999996</v>
      </c>
    </row>
    <row r="467" spans="1:14" x14ac:dyDescent="0.35">
      <c r="A467" s="2" t="s">
        <v>474</v>
      </c>
      <c r="B467" s="3">
        <f t="shared" si="7"/>
        <v>40513</v>
      </c>
      <c r="C467" s="2">
        <v>1.8793390000000001</v>
      </c>
      <c r="D467" s="2">
        <v>2.7706230000000001</v>
      </c>
      <c r="E467" s="2">
        <v>3.0630959999999998</v>
      </c>
      <c r="F467" s="2">
        <v>7.7079899999999997</v>
      </c>
      <c r="G467" s="2">
        <v>0.77013799999999999</v>
      </c>
      <c r="H467" s="2">
        <v>7.9052999999999998E-2</v>
      </c>
      <c r="I467" s="2">
        <v>9.5910000000000006E-3</v>
      </c>
      <c r="J467" s="2">
        <v>4.3839999999999999E-3</v>
      </c>
      <c r="K467" s="2">
        <v>3.091E-2</v>
      </c>
      <c r="L467" s="2">
        <v>0.39531899999999998</v>
      </c>
      <c r="M467" s="2">
        <v>0.51925699999999997</v>
      </c>
      <c r="N467" s="2">
        <v>9.0062390000000008</v>
      </c>
    </row>
    <row r="468" spans="1:14" x14ac:dyDescent="0.35">
      <c r="A468" s="2" t="s">
        <v>475</v>
      </c>
      <c r="B468" s="3">
        <f t="shared" si="7"/>
        <v>40544</v>
      </c>
      <c r="C468" s="2">
        <v>1.88754</v>
      </c>
      <c r="D468" s="2">
        <v>2.9472019999999999</v>
      </c>
      <c r="E468" s="2">
        <v>2.941462</v>
      </c>
      <c r="F468" s="2">
        <v>7.7763249999999999</v>
      </c>
      <c r="G468" s="2">
        <v>0.761181</v>
      </c>
      <c r="H468" s="2">
        <v>8.7111999999999995E-2</v>
      </c>
      <c r="I468" s="2">
        <v>9.9889999999999996E-3</v>
      </c>
      <c r="J468" s="2">
        <v>3.9240000000000004E-3</v>
      </c>
      <c r="K468" s="2">
        <v>2.9173999999999999E-2</v>
      </c>
      <c r="L468" s="2">
        <v>0.38485399999999997</v>
      </c>
      <c r="M468" s="2">
        <v>0.51505299999999998</v>
      </c>
      <c r="N468" s="2">
        <v>9.0617289999999997</v>
      </c>
    </row>
    <row r="469" spans="1:14" x14ac:dyDescent="0.35">
      <c r="A469" s="2" t="s">
        <v>476</v>
      </c>
      <c r="B469" s="3">
        <f t="shared" si="7"/>
        <v>40575</v>
      </c>
      <c r="C469" s="2">
        <v>1.5597049999999999</v>
      </c>
      <c r="D469" s="2">
        <v>2.5019399999999998</v>
      </c>
      <c r="E469" s="2">
        <v>2.637718</v>
      </c>
      <c r="F469" s="2">
        <v>6.699789</v>
      </c>
      <c r="G469" s="2">
        <v>0.67795300000000003</v>
      </c>
      <c r="H469" s="2">
        <v>8.2336000000000006E-2</v>
      </c>
      <c r="I469" s="2">
        <v>9.0170000000000007E-3</v>
      </c>
      <c r="J469" s="2">
        <v>4.3740000000000003E-3</v>
      </c>
      <c r="K469" s="2">
        <v>3.5660999999999998E-2</v>
      </c>
      <c r="L469" s="2">
        <v>0.35237400000000002</v>
      </c>
      <c r="M469" s="2">
        <v>0.483761</v>
      </c>
      <c r="N469" s="2">
        <v>7.869078</v>
      </c>
    </row>
    <row r="470" spans="1:14" x14ac:dyDescent="0.35">
      <c r="A470" s="2" t="s">
        <v>477</v>
      </c>
      <c r="B470" s="3">
        <f t="shared" si="7"/>
        <v>40603</v>
      </c>
      <c r="C470" s="2">
        <v>1.5438320000000001</v>
      </c>
      <c r="D470" s="2">
        <v>2.2744499999999999</v>
      </c>
      <c r="E470" s="2">
        <v>2.9924780000000002</v>
      </c>
      <c r="F470" s="2">
        <v>6.8128830000000002</v>
      </c>
      <c r="G470" s="2">
        <v>0.687083</v>
      </c>
      <c r="H470" s="2">
        <v>0.10623100000000001</v>
      </c>
      <c r="I470" s="2">
        <v>9.9570000000000006E-3</v>
      </c>
      <c r="J470" s="2">
        <v>6.0429999999999998E-3</v>
      </c>
      <c r="K470" s="2">
        <v>3.5978000000000003E-2</v>
      </c>
      <c r="L470" s="2">
        <v>0.38432899999999998</v>
      </c>
      <c r="M470" s="2">
        <v>0.54253899999999999</v>
      </c>
      <c r="N470" s="2">
        <v>8.0509749999999993</v>
      </c>
    </row>
    <row r="471" spans="1:14" x14ac:dyDescent="0.35">
      <c r="A471" s="2" t="s">
        <v>478</v>
      </c>
      <c r="B471" s="3">
        <f t="shared" si="7"/>
        <v>40634</v>
      </c>
      <c r="C471" s="2">
        <v>1.4209449999999999</v>
      </c>
      <c r="D471" s="2">
        <v>1.8601650000000001</v>
      </c>
      <c r="E471" s="2">
        <v>2.811115</v>
      </c>
      <c r="F471" s="2">
        <v>6.0925029999999998</v>
      </c>
      <c r="G471" s="2">
        <v>0.57078300000000004</v>
      </c>
      <c r="H471" s="2">
        <v>0.106435</v>
      </c>
      <c r="I471" s="2">
        <v>9.4470000000000005E-3</v>
      </c>
      <c r="J471" s="2">
        <v>6.7600000000000004E-3</v>
      </c>
      <c r="K471" s="2">
        <v>4.2382999999999997E-2</v>
      </c>
      <c r="L471" s="2">
        <v>0.364286</v>
      </c>
      <c r="M471" s="2">
        <v>0.52931099999999998</v>
      </c>
      <c r="N471" s="2">
        <v>7.2000900000000003</v>
      </c>
    </row>
    <row r="472" spans="1:14" x14ac:dyDescent="0.35">
      <c r="A472" s="2" t="s">
        <v>479</v>
      </c>
      <c r="B472" s="3">
        <f t="shared" si="7"/>
        <v>40664</v>
      </c>
      <c r="C472" s="2">
        <v>1.550327</v>
      </c>
      <c r="D472" s="2">
        <v>1.6988920000000001</v>
      </c>
      <c r="E472" s="2">
        <v>2.869596</v>
      </c>
      <c r="F472" s="2">
        <v>6.120641</v>
      </c>
      <c r="G472" s="2">
        <v>0.59658299999999997</v>
      </c>
      <c r="H472" s="2">
        <v>0.11118699999999999</v>
      </c>
      <c r="I472" s="2">
        <v>9.8890000000000002E-3</v>
      </c>
      <c r="J472" s="2">
        <v>7.4960000000000001E-3</v>
      </c>
      <c r="K472" s="2">
        <v>4.0167000000000001E-2</v>
      </c>
      <c r="L472" s="2">
        <v>0.37911</v>
      </c>
      <c r="M472" s="2">
        <v>0.547848</v>
      </c>
      <c r="N472" s="2">
        <v>7.2774289999999997</v>
      </c>
    </row>
    <row r="473" spans="1:14" x14ac:dyDescent="0.35">
      <c r="A473" s="2" t="s">
        <v>480</v>
      </c>
      <c r="B473" s="3">
        <f t="shared" si="7"/>
        <v>40695</v>
      </c>
      <c r="C473" s="2">
        <v>1.7571760000000001</v>
      </c>
      <c r="D473" s="2">
        <v>1.6888049999999999</v>
      </c>
      <c r="E473" s="2">
        <v>2.9018120000000001</v>
      </c>
      <c r="F473" s="2">
        <v>6.3492179999999996</v>
      </c>
      <c r="G473" s="2">
        <v>0.68298700000000001</v>
      </c>
      <c r="H473" s="2">
        <v>0.10970000000000001</v>
      </c>
      <c r="I473" s="2">
        <v>9.3629999999999998E-3</v>
      </c>
      <c r="J473" s="2">
        <v>7.6670000000000002E-3</v>
      </c>
      <c r="K473" s="2">
        <v>3.7481E-2</v>
      </c>
      <c r="L473" s="2">
        <v>0.38908700000000002</v>
      </c>
      <c r="M473" s="2">
        <v>0.55329799999999996</v>
      </c>
      <c r="N473" s="2">
        <v>7.5963070000000004</v>
      </c>
    </row>
    <row r="474" spans="1:14" x14ac:dyDescent="0.35">
      <c r="A474" s="2" t="s">
        <v>481</v>
      </c>
      <c r="B474" s="3">
        <f t="shared" si="7"/>
        <v>40725</v>
      </c>
      <c r="C474" s="2">
        <v>1.9525159999999999</v>
      </c>
      <c r="D474" s="2">
        <v>1.9269160000000001</v>
      </c>
      <c r="E474" s="2">
        <v>2.9221499999999998</v>
      </c>
      <c r="F474" s="2">
        <v>6.8016110000000003</v>
      </c>
      <c r="G474" s="2">
        <v>0.75701700000000005</v>
      </c>
      <c r="H474" s="2">
        <v>0.106743</v>
      </c>
      <c r="I474" s="2">
        <v>9.7230000000000007E-3</v>
      </c>
      <c r="J474" s="2">
        <v>7.9030000000000003E-3</v>
      </c>
      <c r="K474" s="2">
        <v>2.5551000000000001E-2</v>
      </c>
      <c r="L474" s="2">
        <v>0.38982800000000001</v>
      </c>
      <c r="M474" s="2">
        <v>0.53974900000000003</v>
      </c>
      <c r="N474" s="2">
        <v>8.1146460000000005</v>
      </c>
    </row>
    <row r="475" spans="1:14" x14ac:dyDescent="0.35">
      <c r="A475" s="2" t="s">
        <v>482</v>
      </c>
      <c r="B475" s="3">
        <f t="shared" si="7"/>
        <v>40756</v>
      </c>
      <c r="C475" s="2">
        <v>1.9161440000000001</v>
      </c>
      <c r="D475" s="2">
        <v>1.92815</v>
      </c>
      <c r="E475" s="2">
        <v>3.0291450000000002</v>
      </c>
      <c r="F475" s="2">
        <v>6.8775690000000003</v>
      </c>
      <c r="G475" s="2">
        <v>0.74648700000000001</v>
      </c>
      <c r="H475" s="2">
        <v>8.7904999999999997E-2</v>
      </c>
      <c r="I475" s="2">
        <v>9.7420000000000007E-3</v>
      </c>
      <c r="J475" s="2">
        <v>7.9579999999999998E-3</v>
      </c>
      <c r="K475" s="2">
        <v>2.5499999999999998E-2</v>
      </c>
      <c r="L475" s="2">
        <v>0.40243200000000001</v>
      </c>
      <c r="M475" s="2">
        <v>0.53353700000000004</v>
      </c>
      <c r="N475" s="2">
        <v>8.1732019999999999</v>
      </c>
    </row>
    <row r="476" spans="1:14" x14ac:dyDescent="0.35">
      <c r="A476" s="2" t="s">
        <v>483</v>
      </c>
      <c r="B476" s="3">
        <f t="shared" si="7"/>
        <v>40787</v>
      </c>
      <c r="C476" s="2">
        <v>1.6138840000000001</v>
      </c>
      <c r="D476" s="2">
        <v>1.6869829999999999</v>
      </c>
      <c r="E476" s="2">
        <v>2.8579500000000002</v>
      </c>
      <c r="F476" s="2">
        <v>6.1593590000000003</v>
      </c>
      <c r="G476" s="2">
        <v>0.69950599999999996</v>
      </c>
      <c r="H476" s="2">
        <v>7.2940000000000005E-2</v>
      </c>
      <c r="I476" s="2">
        <v>9.4009999999999996E-3</v>
      </c>
      <c r="J476" s="2">
        <v>7.1780000000000004E-3</v>
      </c>
      <c r="K476" s="2">
        <v>2.3436999999999999E-2</v>
      </c>
      <c r="L476" s="2">
        <v>0.38043199999999999</v>
      </c>
      <c r="M476" s="2">
        <v>0.49338799999999999</v>
      </c>
      <c r="N476" s="2">
        <v>7.3625569999999998</v>
      </c>
    </row>
    <row r="477" spans="1:14" x14ac:dyDescent="0.35">
      <c r="A477" s="2" t="s">
        <v>484</v>
      </c>
      <c r="B477" s="3">
        <f t="shared" si="7"/>
        <v>40817</v>
      </c>
      <c r="C477" s="2">
        <v>1.475112</v>
      </c>
      <c r="D477" s="2">
        <v>1.7774209999999999</v>
      </c>
      <c r="E477" s="2">
        <v>2.9300540000000002</v>
      </c>
      <c r="F477" s="2">
        <v>6.1822369999999998</v>
      </c>
      <c r="G477" s="2">
        <v>0.66275799999999996</v>
      </c>
      <c r="H477" s="2">
        <v>6.7515000000000006E-2</v>
      </c>
      <c r="I477" s="2">
        <v>9.7630000000000008E-3</v>
      </c>
      <c r="J477" s="2">
        <v>6.5069999999999998E-3</v>
      </c>
      <c r="K477" s="2">
        <v>3.5913E-2</v>
      </c>
      <c r="L477" s="2">
        <v>0.38905200000000001</v>
      </c>
      <c r="M477" s="2">
        <v>0.50874900000000001</v>
      </c>
      <c r="N477" s="2">
        <v>7.3632520000000001</v>
      </c>
    </row>
    <row r="478" spans="1:14" x14ac:dyDescent="0.35">
      <c r="A478" s="2" t="s">
        <v>485</v>
      </c>
      <c r="B478" s="3">
        <f t="shared" si="7"/>
        <v>40848</v>
      </c>
      <c r="C478" s="2">
        <v>1.4250560000000001</v>
      </c>
      <c r="D478" s="2">
        <v>2.0712700000000002</v>
      </c>
      <c r="E478" s="2">
        <v>2.8611430000000002</v>
      </c>
      <c r="F478" s="2">
        <v>6.355753</v>
      </c>
      <c r="G478" s="2">
        <v>0.674655</v>
      </c>
      <c r="H478" s="2">
        <v>7.0562E-2</v>
      </c>
      <c r="I478" s="2">
        <v>9.5569999999999995E-3</v>
      </c>
      <c r="J478" s="2">
        <v>5.2589999999999998E-3</v>
      </c>
      <c r="K478" s="2">
        <v>4.2439999999999999E-2</v>
      </c>
      <c r="L478" s="2">
        <v>0.38997599999999999</v>
      </c>
      <c r="M478" s="2">
        <v>0.51779399999999998</v>
      </c>
      <c r="N478" s="2">
        <v>7.5561910000000001</v>
      </c>
    </row>
    <row r="479" spans="1:14" x14ac:dyDescent="0.35">
      <c r="A479" s="2" t="s">
        <v>486</v>
      </c>
      <c r="B479" s="3">
        <f t="shared" si="7"/>
        <v>40878</v>
      </c>
      <c r="C479" s="2">
        <v>1.5555479999999999</v>
      </c>
      <c r="D479" s="2">
        <v>2.592346</v>
      </c>
      <c r="E479" s="2">
        <v>2.8845510000000001</v>
      </c>
      <c r="F479" s="2">
        <v>7.0347140000000001</v>
      </c>
      <c r="G479" s="2">
        <v>0.75170599999999999</v>
      </c>
      <c r="H479" s="2">
        <v>8.0973000000000003E-2</v>
      </c>
      <c r="I479" s="2">
        <v>9.9120000000000007E-3</v>
      </c>
      <c r="J479" s="2">
        <v>5.0559999999999997E-3</v>
      </c>
      <c r="K479" s="2">
        <v>3.6358000000000001E-2</v>
      </c>
      <c r="L479" s="2">
        <v>0.41073199999999999</v>
      </c>
      <c r="M479" s="2">
        <v>0.54303100000000004</v>
      </c>
      <c r="N479" s="2">
        <v>8.3410030000000006</v>
      </c>
    </row>
    <row r="480" spans="1:14" x14ac:dyDescent="0.35">
      <c r="A480" s="2" t="s">
        <v>487</v>
      </c>
      <c r="B480" s="3">
        <f t="shared" si="7"/>
        <v>40909</v>
      </c>
      <c r="C480" s="2">
        <v>1.4910429999999999</v>
      </c>
      <c r="D480" s="2">
        <v>2.8169770000000001</v>
      </c>
      <c r="E480" s="2">
        <v>2.8340420000000002</v>
      </c>
      <c r="F480" s="2">
        <v>7.1442119999999996</v>
      </c>
      <c r="G480" s="2">
        <v>0.75848199999999999</v>
      </c>
      <c r="H480" s="2">
        <v>7.8841999999999995E-2</v>
      </c>
      <c r="I480" s="2">
        <v>9.6889999999999997E-3</v>
      </c>
      <c r="J480" s="2">
        <v>4.607E-3</v>
      </c>
      <c r="K480" s="2">
        <v>4.6508000000000001E-2</v>
      </c>
      <c r="L480" s="2">
        <v>0.37821100000000002</v>
      </c>
      <c r="M480" s="2">
        <v>0.51785599999999998</v>
      </c>
      <c r="N480" s="2">
        <v>8.431521</v>
      </c>
    </row>
    <row r="481" spans="1:14" x14ac:dyDescent="0.35">
      <c r="A481" s="2" t="s">
        <v>488</v>
      </c>
      <c r="B481" s="3">
        <f t="shared" si="7"/>
        <v>40940</v>
      </c>
      <c r="C481" s="2">
        <v>1.338104</v>
      </c>
      <c r="D481" s="2">
        <v>2.5557620000000001</v>
      </c>
      <c r="E481" s="2">
        <v>2.6977730000000002</v>
      </c>
      <c r="F481" s="2">
        <v>6.5917339999999998</v>
      </c>
      <c r="G481" s="2">
        <v>0.66905300000000001</v>
      </c>
      <c r="H481" s="2">
        <v>6.9209000000000007E-2</v>
      </c>
      <c r="I481" s="2">
        <v>9.103E-3</v>
      </c>
      <c r="J481" s="2">
        <v>5.0769999999999999E-3</v>
      </c>
      <c r="K481" s="2">
        <v>3.7707999999999998E-2</v>
      </c>
      <c r="L481" s="2">
        <v>0.36133700000000002</v>
      </c>
      <c r="M481" s="2">
        <v>0.48243399999999997</v>
      </c>
      <c r="N481" s="2">
        <v>7.7526710000000003</v>
      </c>
    </row>
    <row r="482" spans="1:14" x14ac:dyDescent="0.35">
      <c r="A482" s="2" t="s">
        <v>489</v>
      </c>
      <c r="B482" s="3">
        <f t="shared" si="7"/>
        <v>40969</v>
      </c>
      <c r="C482" s="2">
        <v>1.2327360000000001</v>
      </c>
      <c r="D482" s="2">
        <v>2.1735609999999999</v>
      </c>
      <c r="E482" s="2">
        <v>2.806975</v>
      </c>
      <c r="F482" s="2">
        <v>6.215814</v>
      </c>
      <c r="G482" s="2">
        <v>0.64685400000000004</v>
      </c>
      <c r="H482" s="2">
        <v>8.8392999999999999E-2</v>
      </c>
      <c r="I482" s="2">
        <v>9.7630000000000008E-3</v>
      </c>
      <c r="J482" s="2">
        <v>7.1479999999999998E-3</v>
      </c>
      <c r="K482" s="2">
        <v>4.7861000000000001E-2</v>
      </c>
      <c r="L482" s="2">
        <v>0.38101600000000002</v>
      </c>
      <c r="M482" s="2">
        <v>0.53418299999999996</v>
      </c>
      <c r="N482" s="2">
        <v>7.4071119999999997</v>
      </c>
    </row>
    <row r="483" spans="1:14" x14ac:dyDescent="0.35">
      <c r="A483" s="2" t="s">
        <v>490</v>
      </c>
      <c r="B483" s="3">
        <f t="shared" si="7"/>
        <v>41000</v>
      </c>
      <c r="C483" s="2">
        <v>1.1120270000000001</v>
      </c>
      <c r="D483" s="2">
        <v>1.994864</v>
      </c>
      <c r="E483" s="2">
        <v>2.7270729999999999</v>
      </c>
      <c r="F483" s="2">
        <v>5.8398909999999997</v>
      </c>
      <c r="G483" s="2">
        <v>0.58547099999999996</v>
      </c>
      <c r="H483" s="2">
        <v>8.9719999999999994E-2</v>
      </c>
      <c r="I483" s="2">
        <v>9.4640000000000002E-3</v>
      </c>
      <c r="J483" s="2">
        <v>8.0960000000000008E-3</v>
      </c>
      <c r="K483" s="2">
        <v>4.3362999999999999E-2</v>
      </c>
      <c r="L483" s="2">
        <v>0.365259</v>
      </c>
      <c r="M483" s="2">
        <v>0.51590199999999997</v>
      </c>
      <c r="N483" s="2">
        <v>6.9540230000000003</v>
      </c>
    </row>
    <row r="484" spans="1:14" x14ac:dyDescent="0.35">
      <c r="A484" s="2" t="s">
        <v>491</v>
      </c>
      <c r="B484" s="3">
        <f t="shared" si="7"/>
        <v>41030</v>
      </c>
      <c r="C484" s="2">
        <v>1.3292790000000001</v>
      </c>
      <c r="D484" s="2">
        <v>1.913537</v>
      </c>
      <c r="E484" s="2">
        <v>2.8808050000000001</v>
      </c>
      <c r="F484" s="2">
        <v>6.1242760000000001</v>
      </c>
      <c r="G484" s="2">
        <v>0.65055099999999999</v>
      </c>
      <c r="H484" s="2">
        <v>9.7724000000000005E-2</v>
      </c>
      <c r="I484" s="2">
        <v>9.8279999999999999E-3</v>
      </c>
      <c r="J484" s="2">
        <v>9.3159999999999996E-3</v>
      </c>
      <c r="K484" s="2">
        <v>4.2788E-2</v>
      </c>
      <c r="L484" s="2">
        <v>0.38462299999999999</v>
      </c>
      <c r="M484" s="2">
        <v>0.54427800000000004</v>
      </c>
      <c r="N484" s="2">
        <v>7.3338530000000004</v>
      </c>
    </row>
    <row r="485" spans="1:14" x14ac:dyDescent="0.35">
      <c r="A485" s="2" t="s">
        <v>492</v>
      </c>
      <c r="B485" s="3">
        <f t="shared" si="7"/>
        <v>41061</v>
      </c>
      <c r="C485" s="2">
        <v>1.4978929999999999</v>
      </c>
      <c r="D485" s="2">
        <v>1.9081300000000001</v>
      </c>
      <c r="E485" s="2">
        <v>2.8415319999999999</v>
      </c>
      <c r="F485" s="2">
        <v>6.2474020000000001</v>
      </c>
      <c r="G485" s="2">
        <v>0.68260299999999996</v>
      </c>
      <c r="H485" s="2">
        <v>9.0955999999999995E-2</v>
      </c>
      <c r="I485" s="2">
        <v>9.5639999999999996E-3</v>
      </c>
      <c r="J485" s="2">
        <v>9.6050000000000007E-3</v>
      </c>
      <c r="K485" s="2">
        <v>4.0849000000000003E-2</v>
      </c>
      <c r="L485" s="2">
        <v>0.37796099999999999</v>
      </c>
      <c r="M485" s="2">
        <v>0.52893500000000004</v>
      </c>
      <c r="N485" s="2">
        <v>7.4731310000000004</v>
      </c>
    </row>
    <row r="486" spans="1:14" x14ac:dyDescent="0.35">
      <c r="A486" s="2" t="s">
        <v>493</v>
      </c>
      <c r="B486" s="3">
        <f t="shared" si="7"/>
        <v>41091</v>
      </c>
      <c r="C486" s="2">
        <v>1.7899890000000001</v>
      </c>
      <c r="D486" s="2">
        <v>2.114077</v>
      </c>
      <c r="E486" s="2">
        <v>2.8859509999999999</v>
      </c>
      <c r="F486" s="2">
        <v>6.7898339999999999</v>
      </c>
      <c r="G486" s="2">
        <v>0.72440599999999999</v>
      </c>
      <c r="H486" s="2">
        <v>9.0386999999999995E-2</v>
      </c>
      <c r="I486" s="2">
        <v>9.8840000000000004E-3</v>
      </c>
      <c r="J486" s="2">
        <v>9.9340000000000001E-3</v>
      </c>
      <c r="K486" s="2">
        <v>3.0103999999999999E-2</v>
      </c>
      <c r="L486" s="2">
        <v>0.38075300000000001</v>
      </c>
      <c r="M486" s="2">
        <v>0.52106300000000005</v>
      </c>
      <c r="N486" s="2">
        <v>8.0546380000000006</v>
      </c>
    </row>
    <row r="487" spans="1:14" x14ac:dyDescent="0.35">
      <c r="A487" s="2" t="s">
        <v>494</v>
      </c>
      <c r="B487" s="3">
        <f t="shared" si="7"/>
        <v>41122</v>
      </c>
      <c r="C487" s="2">
        <v>1.718283</v>
      </c>
      <c r="D487" s="2">
        <v>2.051682</v>
      </c>
      <c r="E487" s="2">
        <v>2.9767169999999998</v>
      </c>
      <c r="F487" s="2">
        <v>6.746537</v>
      </c>
      <c r="G487" s="2">
        <v>0.72936100000000004</v>
      </c>
      <c r="H487" s="2">
        <v>7.8590999999999994E-2</v>
      </c>
      <c r="I487" s="2">
        <v>9.8270000000000007E-3</v>
      </c>
      <c r="J487" s="2">
        <v>9.6849999999999992E-3</v>
      </c>
      <c r="K487" s="2">
        <v>2.8898E-2</v>
      </c>
      <c r="L487" s="2">
        <v>0.39163399999999998</v>
      </c>
      <c r="M487" s="2">
        <v>0.51863400000000004</v>
      </c>
      <c r="N487" s="2">
        <v>8.0132879999999993</v>
      </c>
    </row>
    <row r="488" spans="1:14" x14ac:dyDescent="0.35">
      <c r="A488" s="2" t="s">
        <v>495</v>
      </c>
      <c r="B488" s="3">
        <f t="shared" si="7"/>
        <v>41153</v>
      </c>
      <c r="C488" s="2">
        <v>1.455586</v>
      </c>
      <c r="D488" s="2">
        <v>1.8453790000000001</v>
      </c>
      <c r="E488" s="2">
        <v>2.71936</v>
      </c>
      <c r="F488" s="2">
        <v>6.0190450000000002</v>
      </c>
      <c r="G488" s="2">
        <v>0.67601</v>
      </c>
      <c r="H488" s="2">
        <v>6.0065E-2</v>
      </c>
      <c r="I488" s="2">
        <v>9.6399999999999993E-3</v>
      </c>
      <c r="J488" s="2">
        <v>8.9599999999999992E-3</v>
      </c>
      <c r="K488" s="2">
        <v>2.9991E-2</v>
      </c>
      <c r="L488" s="2">
        <v>0.36591800000000002</v>
      </c>
      <c r="M488" s="2">
        <v>0.47457500000000002</v>
      </c>
      <c r="N488" s="2">
        <v>7.1832849999999997</v>
      </c>
    </row>
    <row r="489" spans="1:14" x14ac:dyDescent="0.35">
      <c r="A489" s="2" t="s">
        <v>496</v>
      </c>
      <c r="B489" s="3">
        <f t="shared" si="7"/>
        <v>41183</v>
      </c>
      <c r="C489" s="2">
        <v>1.402746</v>
      </c>
      <c r="D489" s="2">
        <v>1.9413210000000001</v>
      </c>
      <c r="E489" s="2">
        <v>2.8955259999999998</v>
      </c>
      <c r="F489" s="2">
        <v>6.2364519999999999</v>
      </c>
      <c r="G489" s="2">
        <v>0.62604899999999997</v>
      </c>
      <c r="H489" s="2">
        <v>5.6304E-2</v>
      </c>
      <c r="I489" s="2">
        <v>9.9129999999999999E-3</v>
      </c>
      <c r="J489" s="2">
        <v>8.2140000000000008E-3</v>
      </c>
      <c r="K489" s="2">
        <v>4.3114E-2</v>
      </c>
      <c r="L489" s="2">
        <v>0.37973400000000002</v>
      </c>
      <c r="M489" s="2">
        <v>0.49727900000000003</v>
      </c>
      <c r="N489" s="2">
        <v>7.3722719999999997</v>
      </c>
    </row>
    <row r="490" spans="1:14" x14ac:dyDescent="0.35">
      <c r="A490" s="2" t="s">
        <v>497</v>
      </c>
      <c r="B490" s="3">
        <f t="shared" si="7"/>
        <v>41214</v>
      </c>
      <c r="C490" s="2">
        <v>1.472029</v>
      </c>
      <c r="D490" s="2">
        <v>2.214645</v>
      </c>
      <c r="E490" s="2">
        <v>2.7780670000000001</v>
      </c>
      <c r="F490" s="2">
        <v>6.4620990000000003</v>
      </c>
      <c r="G490" s="2">
        <v>0.59429299999999996</v>
      </c>
      <c r="H490" s="2">
        <v>6.3918000000000003E-2</v>
      </c>
      <c r="I490" s="2">
        <v>9.8010000000000007E-3</v>
      </c>
      <c r="J490" s="2">
        <v>6.7149999999999996E-3</v>
      </c>
      <c r="K490" s="2">
        <v>3.9745000000000003E-2</v>
      </c>
      <c r="L490" s="2">
        <v>0.36936600000000003</v>
      </c>
      <c r="M490" s="2">
        <v>0.48954500000000001</v>
      </c>
      <c r="N490" s="2">
        <v>7.5592259999999998</v>
      </c>
    </row>
    <row r="491" spans="1:14" x14ac:dyDescent="0.35">
      <c r="A491" s="2" t="s">
        <v>498</v>
      </c>
      <c r="B491" s="3">
        <f t="shared" si="7"/>
        <v>41244</v>
      </c>
      <c r="C491" s="2">
        <v>1.5385200000000001</v>
      </c>
      <c r="D491" s="2">
        <v>2.5586500000000001</v>
      </c>
      <c r="E491" s="2">
        <v>2.7892779999999999</v>
      </c>
      <c r="F491" s="2">
        <v>6.8866050000000003</v>
      </c>
      <c r="G491" s="2">
        <v>0.71868799999999999</v>
      </c>
      <c r="H491" s="2">
        <v>7.8423000000000007E-2</v>
      </c>
      <c r="I491" s="2">
        <v>1.0122000000000001E-2</v>
      </c>
      <c r="J491" s="2">
        <v>6.4390000000000003E-3</v>
      </c>
      <c r="K491" s="2">
        <v>4.9554000000000001E-2</v>
      </c>
      <c r="L491" s="2">
        <v>0.38112200000000002</v>
      </c>
      <c r="M491" s="2">
        <v>0.52566100000000004</v>
      </c>
      <c r="N491" s="2">
        <v>8.1423039999999993</v>
      </c>
    </row>
    <row r="492" spans="1:14" x14ac:dyDescent="0.35">
      <c r="A492" s="2" t="s">
        <v>499</v>
      </c>
      <c r="B492" s="3">
        <f t="shared" si="7"/>
        <v>41275</v>
      </c>
      <c r="C492" s="2">
        <v>1.572497</v>
      </c>
      <c r="D492" s="2">
        <v>2.9518200000000001</v>
      </c>
      <c r="E492" s="2">
        <v>2.8902350000000001</v>
      </c>
      <c r="F492" s="2">
        <v>7.4139819999999999</v>
      </c>
      <c r="G492" s="2">
        <v>0.74611899999999998</v>
      </c>
      <c r="H492" s="2">
        <v>8.4714999999999999E-2</v>
      </c>
      <c r="I492" s="2">
        <v>1.0108000000000001E-2</v>
      </c>
      <c r="J492" s="2">
        <v>5.8690000000000001E-3</v>
      </c>
      <c r="K492" s="2">
        <v>5.0287999999999999E-2</v>
      </c>
      <c r="L492" s="2">
        <v>0.39074300000000001</v>
      </c>
      <c r="M492" s="2">
        <v>0.54172200000000004</v>
      </c>
      <c r="N492" s="2">
        <v>8.7165719999999993</v>
      </c>
    </row>
    <row r="493" spans="1:14" x14ac:dyDescent="0.35">
      <c r="A493" s="2" t="s">
        <v>500</v>
      </c>
      <c r="B493" s="3">
        <f t="shared" si="7"/>
        <v>41306</v>
      </c>
      <c r="C493" s="2">
        <v>1.4144099999999999</v>
      </c>
      <c r="D493" s="2">
        <v>2.6322169999999998</v>
      </c>
      <c r="E493" s="2">
        <v>2.588981</v>
      </c>
      <c r="F493" s="2">
        <v>6.6362370000000004</v>
      </c>
      <c r="G493" s="2">
        <v>0.64244000000000001</v>
      </c>
      <c r="H493" s="2">
        <v>6.9667999999999994E-2</v>
      </c>
      <c r="I493" s="2">
        <v>9.0889999999999999E-3</v>
      </c>
      <c r="J493" s="2">
        <v>6.6629999999999997E-3</v>
      </c>
      <c r="K493" s="2">
        <v>4.8025999999999999E-2</v>
      </c>
      <c r="L493" s="2">
        <v>0.35625699999999999</v>
      </c>
      <c r="M493" s="2">
        <v>0.489703</v>
      </c>
      <c r="N493" s="2">
        <v>7.7828689999999998</v>
      </c>
    </row>
    <row r="494" spans="1:14" x14ac:dyDescent="0.35">
      <c r="A494" s="2" t="s">
        <v>501</v>
      </c>
      <c r="B494" s="3">
        <f t="shared" si="7"/>
        <v>41334</v>
      </c>
      <c r="C494" s="2">
        <v>1.4813149999999999</v>
      </c>
      <c r="D494" s="2">
        <v>2.5844860000000001</v>
      </c>
      <c r="E494" s="2">
        <v>2.8552650000000002</v>
      </c>
      <c r="F494" s="2">
        <v>6.9182639999999997</v>
      </c>
      <c r="G494" s="2">
        <v>0.65773700000000002</v>
      </c>
      <c r="H494" s="2">
        <v>7.0063E-2</v>
      </c>
      <c r="I494" s="2">
        <v>1.0096000000000001E-2</v>
      </c>
      <c r="J494" s="2">
        <v>9.2599999999999991E-3</v>
      </c>
      <c r="K494" s="2">
        <v>5.3758E-2</v>
      </c>
      <c r="L494" s="2">
        <v>0.39965200000000001</v>
      </c>
      <c r="M494" s="2">
        <v>0.54282900000000001</v>
      </c>
      <c r="N494" s="2">
        <v>8.1346139999999991</v>
      </c>
    </row>
    <row r="495" spans="1:14" x14ac:dyDescent="0.35">
      <c r="A495" s="2" t="s">
        <v>502</v>
      </c>
      <c r="B495" s="3">
        <f t="shared" si="7"/>
        <v>41365</v>
      </c>
      <c r="C495" s="2">
        <v>1.2870699999999999</v>
      </c>
      <c r="D495" s="2">
        <v>2.015981</v>
      </c>
      <c r="E495" s="2">
        <v>2.7746590000000002</v>
      </c>
      <c r="F495" s="2">
        <v>6.0762520000000002</v>
      </c>
      <c r="G495" s="2">
        <v>0.59315700000000005</v>
      </c>
      <c r="H495" s="2">
        <v>8.5630999999999999E-2</v>
      </c>
      <c r="I495" s="2">
        <v>9.5670000000000009E-3</v>
      </c>
      <c r="J495" s="2">
        <v>1.0151E-2</v>
      </c>
      <c r="K495" s="2">
        <v>5.9629000000000001E-2</v>
      </c>
      <c r="L495" s="2">
        <v>0.38846700000000001</v>
      </c>
      <c r="M495" s="2">
        <v>0.55344499999999996</v>
      </c>
      <c r="N495" s="2">
        <v>7.236421</v>
      </c>
    </row>
    <row r="496" spans="1:14" x14ac:dyDescent="0.35">
      <c r="A496" s="2" t="s">
        <v>503</v>
      </c>
      <c r="B496" s="3">
        <f t="shared" si="7"/>
        <v>41395</v>
      </c>
      <c r="C496" s="2">
        <v>1.3636729999999999</v>
      </c>
      <c r="D496" s="2">
        <v>1.795051</v>
      </c>
      <c r="E496" s="2">
        <v>2.9015840000000002</v>
      </c>
      <c r="F496" s="2">
        <v>6.0605830000000003</v>
      </c>
      <c r="G496" s="2">
        <v>0.65669999999999995</v>
      </c>
      <c r="H496" s="2">
        <v>9.7072000000000006E-2</v>
      </c>
      <c r="I496" s="2">
        <v>9.8549999999999992E-3</v>
      </c>
      <c r="J496" s="2">
        <v>1.1264E-2</v>
      </c>
      <c r="K496" s="2">
        <v>5.5405999999999997E-2</v>
      </c>
      <c r="L496" s="2">
        <v>0.40524199999999999</v>
      </c>
      <c r="M496" s="2">
        <v>0.57883899999999999</v>
      </c>
      <c r="N496" s="2">
        <v>7.3132320000000002</v>
      </c>
    </row>
    <row r="497" spans="1:14" x14ac:dyDescent="0.35">
      <c r="A497" s="2" t="s">
        <v>504</v>
      </c>
      <c r="B497" s="3">
        <f t="shared" si="7"/>
        <v>41426</v>
      </c>
      <c r="C497" s="2">
        <v>1.564343</v>
      </c>
      <c r="D497" s="2">
        <v>1.785401</v>
      </c>
      <c r="E497" s="2">
        <v>2.8164389999999999</v>
      </c>
      <c r="F497" s="2">
        <v>6.1631289999999996</v>
      </c>
      <c r="G497" s="2">
        <v>0.69412399999999996</v>
      </c>
      <c r="H497" s="2">
        <v>9.3434000000000003E-2</v>
      </c>
      <c r="I497" s="2">
        <v>9.5809999999999992E-3</v>
      </c>
      <c r="J497" s="2">
        <v>1.1745E-2</v>
      </c>
      <c r="K497" s="2">
        <v>4.6908999999999999E-2</v>
      </c>
      <c r="L497" s="2">
        <v>0.407273</v>
      </c>
      <c r="M497" s="2">
        <v>0.56894100000000003</v>
      </c>
      <c r="N497" s="2">
        <v>7.4450060000000002</v>
      </c>
    </row>
    <row r="498" spans="1:14" x14ac:dyDescent="0.35">
      <c r="A498" s="2" t="s">
        <v>505</v>
      </c>
      <c r="B498" s="3">
        <f t="shared" si="7"/>
        <v>41456</v>
      </c>
      <c r="C498" s="2">
        <v>1.722982</v>
      </c>
      <c r="D498" s="2">
        <v>1.9735210000000001</v>
      </c>
      <c r="E498" s="2">
        <v>2.9850120000000002</v>
      </c>
      <c r="F498" s="2">
        <v>6.6795460000000002</v>
      </c>
      <c r="G498" s="2">
        <v>0.73706400000000005</v>
      </c>
      <c r="H498" s="2">
        <v>9.2993000000000006E-2</v>
      </c>
      <c r="I498" s="2">
        <v>9.9550000000000003E-3</v>
      </c>
      <c r="J498" s="2">
        <v>1.2038E-2</v>
      </c>
      <c r="K498" s="2">
        <v>3.7851000000000003E-2</v>
      </c>
      <c r="L498" s="2">
        <v>0.41977199999999998</v>
      </c>
      <c r="M498" s="2">
        <v>0.57260900000000003</v>
      </c>
      <c r="N498" s="2">
        <v>8.0092549999999996</v>
      </c>
    </row>
    <row r="499" spans="1:14" x14ac:dyDescent="0.35">
      <c r="A499" s="2" t="s">
        <v>506</v>
      </c>
      <c r="B499" s="3">
        <f t="shared" si="7"/>
        <v>41487</v>
      </c>
      <c r="C499" s="2">
        <v>1.700671</v>
      </c>
      <c r="D499" s="2">
        <v>1.9746090000000001</v>
      </c>
      <c r="E499" s="2">
        <v>2.9649939999999999</v>
      </c>
      <c r="F499" s="2">
        <v>6.6385139999999998</v>
      </c>
      <c r="G499" s="2">
        <v>0.74547699999999995</v>
      </c>
      <c r="H499" s="2">
        <v>7.3813000000000004E-2</v>
      </c>
      <c r="I499" s="2">
        <v>9.9050000000000006E-3</v>
      </c>
      <c r="J499" s="2">
        <v>1.2336E-2</v>
      </c>
      <c r="K499" s="2">
        <v>3.2870999999999997E-2</v>
      </c>
      <c r="L499" s="2">
        <v>0.41701500000000002</v>
      </c>
      <c r="M499" s="2">
        <v>0.54593999999999998</v>
      </c>
      <c r="N499" s="2">
        <v>7.9508900000000002</v>
      </c>
    </row>
    <row r="500" spans="1:14" x14ac:dyDescent="0.35">
      <c r="A500" s="2" t="s">
        <v>507</v>
      </c>
      <c r="B500" s="3">
        <f t="shared" si="7"/>
        <v>41518</v>
      </c>
      <c r="C500" s="2">
        <v>1.5200940000000001</v>
      </c>
      <c r="D500" s="2">
        <v>1.810038</v>
      </c>
      <c r="E500" s="2">
        <v>2.8800530000000002</v>
      </c>
      <c r="F500" s="2">
        <v>6.2094050000000003</v>
      </c>
      <c r="G500" s="2">
        <v>0.68753299999999995</v>
      </c>
      <c r="H500" s="2">
        <v>5.7870999999999999E-2</v>
      </c>
      <c r="I500" s="2">
        <v>9.6520000000000009E-3</v>
      </c>
      <c r="J500" s="2">
        <v>1.1551000000000001E-2</v>
      </c>
      <c r="K500" s="2">
        <v>3.9831999999999999E-2</v>
      </c>
      <c r="L500" s="2">
        <v>0.40307100000000001</v>
      </c>
      <c r="M500" s="2">
        <v>0.52197700000000002</v>
      </c>
      <c r="N500" s="2">
        <v>7.4357449999999998</v>
      </c>
    </row>
    <row r="501" spans="1:14" x14ac:dyDescent="0.35">
      <c r="A501" s="2" t="s">
        <v>508</v>
      </c>
      <c r="B501" s="3">
        <f t="shared" si="7"/>
        <v>41548</v>
      </c>
      <c r="C501" s="2">
        <v>1.4015059999999999</v>
      </c>
      <c r="D501" s="2">
        <v>1.9123509999999999</v>
      </c>
      <c r="E501" s="2">
        <v>2.962459</v>
      </c>
      <c r="F501" s="2">
        <v>6.2752889999999999</v>
      </c>
      <c r="G501" s="2">
        <v>0.66020500000000004</v>
      </c>
      <c r="H501" s="2">
        <v>5.8681999999999998E-2</v>
      </c>
      <c r="I501" s="2">
        <v>1.0045E-2</v>
      </c>
      <c r="J501" s="2">
        <v>1.0946000000000001E-2</v>
      </c>
      <c r="K501" s="2">
        <v>4.6523000000000002E-2</v>
      </c>
      <c r="L501" s="2">
        <v>0.42272100000000001</v>
      </c>
      <c r="M501" s="2">
        <v>0.54891699999999999</v>
      </c>
      <c r="N501" s="2">
        <v>7.4992470000000004</v>
      </c>
    </row>
    <row r="502" spans="1:14" x14ac:dyDescent="0.35">
      <c r="A502" s="2" t="s">
        <v>509</v>
      </c>
      <c r="B502" s="3">
        <f t="shared" si="7"/>
        <v>41579</v>
      </c>
      <c r="C502" s="2">
        <v>1.393993</v>
      </c>
      <c r="D502" s="2">
        <v>2.3747579999999999</v>
      </c>
      <c r="E502" s="2">
        <v>2.8903349999999999</v>
      </c>
      <c r="F502" s="2">
        <v>6.6562749999999999</v>
      </c>
      <c r="G502" s="2">
        <v>0.678929</v>
      </c>
      <c r="H502" s="2">
        <v>6.0312999999999999E-2</v>
      </c>
      <c r="I502" s="2">
        <v>9.4179999999999993E-3</v>
      </c>
      <c r="J502" s="2">
        <v>9.0279999999999996E-3</v>
      </c>
      <c r="K502" s="2">
        <v>5.3920999999999997E-2</v>
      </c>
      <c r="L502" s="2">
        <v>0.41474699999999998</v>
      </c>
      <c r="M502" s="2">
        <v>0.54742599999999997</v>
      </c>
      <c r="N502" s="2">
        <v>7.898542</v>
      </c>
    </row>
    <row r="503" spans="1:14" x14ac:dyDescent="0.35">
      <c r="A503" s="2" t="s">
        <v>510</v>
      </c>
      <c r="B503" s="3">
        <f t="shared" si="7"/>
        <v>41609</v>
      </c>
      <c r="C503" s="2">
        <v>1.616079</v>
      </c>
      <c r="D503" s="2">
        <v>2.9949050000000002</v>
      </c>
      <c r="E503" s="2">
        <v>2.887915</v>
      </c>
      <c r="F503" s="2">
        <v>7.4968009999999996</v>
      </c>
      <c r="G503" s="2">
        <v>0.74494700000000003</v>
      </c>
      <c r="H503" s="2">
        <v>7.2090000000000001E-2</v>
      </c>
      <c r="I503" s="2">
        <v>1.0052999999999999E-2</v>
      </c>
      <c r="J503" s="2">
        <v>8.8000000000000005E-3</v>
      </c>
      <c r="K503" s="2">
        <v>4.7655999999999997E-2</v>
      </c>
      <c r="L503" s="2">
        <v>0.43607099999999999</v>
      </c>
      <c r="M503" s="2">
        <v>0.57466899999999999</v>
      </c>
      <c r="N503" s="2">
        <v>8.8308090000000004</v>
      </c>
    </row>
    <row r="504" spans="1:14" x14ac:dyDescent="0.35">
      <c r="A504" s="2" t="s">
        <v>511</v>
      </c>
      <c r="B504" s="3">
        <f t="shared" si="7"/>
        <v>41640</v>
      </c>
      <c r="C504" s="2">
        <v>1.74661</v>
      </c>
      <c r="D504" s="2">
        <v>3.301739</v>
      </c>
      <c r="E504" s="2">
        <v>2.9343949999999999</v>
      </c>
      <c r="F504" s="2">
        <v>7.9819079999999998</v>
      </c>
      <c r="G504" s="2">
        <v>0.765208</v>
      </c>
      <c r="H504" s="2">
        <v>7.3815000000000006E-2</v>
      </c>
      <c r="I504" s="2">
        <v>1.0016000000000001E-2</v>
      </c>
      <c r="J504" s="2">
        <v>8.1569999999999993E-3</v>
      </c>
      <c r="K504" s="2">
        <v>6.1113000000000001E-2</v>
      </c>
      <c r="L504" s="2">
        <v>0.413993</v>
      </c>
      <c r="M504" s="2">
        <v>0.56709399999999999</v>
      </c>
      <c r="N504" s="2">
        <v>9.3284859999999998</v>
      </c>
    </row>
    <row r="505" spans="1:14" x14ac:dyDescent="0.35">
      <c r="A505" s="2" t="s">
        <v>512</v>
      </c>
      <c r="B505" s="3">
        <f t="shared" si="7"/>
        <v>41671</v>
      </c>
      <c r="C505" s="2">
        <v>1.599885</v>
      </c>
      <c r="D505" s="2">
        <v>2.824408</v>
      </c>
      <c r="E505" s="2">
        <v>2.6227140000000002</v>
      </c>
      <c r="F505" s="2">
        <v>7.0454359999999996</v>
      </c>
      <c r="G505" s="2">
        <v>0.65514099999999997</v>
      </c>
      <c r="H505" s="2">
        <v>5.9355999999999999E-2</v>
      </c>
      <c r="I505" s="2">
        <v>8.9870000000000002E-3</v>
      </c>
      <c r="J505" s="2">
        <v>8.7989999999999995E-3</v>
      </c>
      <c r="K505" s="2">
        <v>4.7798E-2</v>
      </c>
      <c r="L505" s="2">
        <v>0.37902599999999997</v>
      </c>
      <c r="M505" s="2">
        <v>0.50396600000000003</v>
      </c>
      <c r="N505" s="2">
        <v>8.2152709999999995</v>
      </c>
    </row>
    <row r="506" spans="1:14" x14ac:dyDescent="0.35">
      <c r="A506" s="2" t="s">
        <v>513</v>
      </c>
      <c r="B506" s="3">
        <f t="shared" si="7"/>
        <v>41699</v>
      </c>
      <c r="C506" s="2">
        <v>1.52349</v>
      </c>
      <c r="D506" s="2">
        <v>2.634668</v>
      </c>
      <c r="E506" s="2">
        <v>2.832767</v>
      </c>
      <c r="F506" s="2">
        <v>6.9903199999999996</v>
      </c>
      <c r="G506" s="2">
        <v>0.65261100000000005</v>
      </c>
      <c r="H506" s="2">
        <v>8.2765000000000005E-2</v>
      </c>
      <c r="I506" s="2">
        <v>9.9570000000000006E-3</v>
      </c>
      <c r="J506" s="2">
        <v>1.2624E-2</v>
      </c>
      <c r="K506" s="2">
        <v>6.0514999999999999E-2</v>
      </c>
      <c r="L506" s="2">
        <v>0.41824699999999998</v>
      </c>
      <c r="M506" s="2">
        <v>0.58410899999999999</v>
      </c>
      <c r="N506" s="2">
        <v>8.2394820000000006</v>
      </c>
    </row>
    <row r="507" spans="1:14" x14ac:dyDescent="0.35">
      <c r="A507" s="2" t="s">
        <v>514</v>
      </c>
      <c r="B507" s="3">
        <f t="shared" si="7"/>
        <v>41730</v>
      </c>
      <c r="C507" s="2">
        <v>1.239603</v>
      </c>
      <c r="D507" s="2">
        <v>2.0194209999999999</v>
      </c>
      <c r="E507" s="2">
        <v>2.819766</v>
      </c>
      <c r="F507" s="2">
        <v>6.0776199999999996</v>
      </c>
      <c r="G507" s="2">
        <v>0.58972599999999997</v>
      </c>
      <c r="H507" s="2">
        <v>8.6801000000000003E-2</v>
      </c>
      <c r="I507" s="2">
        <v>9.7009999999999996E-3</v>
      </c>
      <c r="J507" s="2">
        <v>1.3934E-2</v>
      </c>
      <c r="K507" s="2">
        <v>6.3584000000000002E-2</v>
      </c>
      <c r="L507" s="2">
        <v>0.40667599999999998</v>
      </c>
      <c r="M507" s="2">
        <v>0.58069700000000002</v>
      </c>
      <c r="N507" s="2">
        <v>7.2598260000000003</v>
      </c>
    </row>
    <row r="508" spans="1:14" x14ac:dyDescent="0.35">
      <c r="A508" s="2" t="s">
        <v>515</v>
      </c>
      <c r="B508" s="3">
        <f t="shared" si="7"/>
        <v>41760</v>
      </c>
      <c r="C508" s="2">
        <v>1.356781</v>
      </c>
      <c r="D508" s="2">
        <v>1.862981</v>
      </c>
      <c r="E508" s="2">
        <v>2.8816290000000002</v>
      </c>
      <c r="F508" s="2">
        <v>6.0995280000000003</v>
      </c>
      <c r="G508" s="2">
        <v>0.65836700000000004</v>
      </c>
      <c r="H508" s="2">
        <v>9.0567999999999996E-2</v>
      </c>
      <c r="I508" s="2">
        <v>9.9389999999999999E-3</v>
      </c>
      <c r="J508" s="2">
        <v>1.5758000000000001E-2</v>
      </c>
      <c r="K508" s="2">
        <v>5.3232000000000002E-2</v>
      </c>
      <c r="L508" s="2">
        <v>0.41825699999999999</v>
      </c>
      <c r="M508" s="2">
        <v>0.587754</v>
      </c>
      <c r="N508" s="2">
        <v>7.3612209999999996</v>
      </c>
    </row>
    <row r="509" spans="1:14" x14ac:dyDescent="0.35">
      <c r="A509" s="2" t="s">
        <v>516</v>
      </c>
      <c r="B509" s="3">
        <f t="shared" si="7"/>
        <v>41791</v>
      </c>
      <c r="C509" s="2">
        <v>1.558821</v>
      </c>
      <c r="D509" s="2">
        <v>1.796176</v>
      </c>
      <c r="E509" s="2">
        <v>2.8240660000000002</v>
      </c>
      <c r="F509" s="2">
        <v>6.1782779999999997</v>
      </c>
      <c r="G509" s="2">
        <v>0.71265800000000001</v>
      </c>
      <c r="H509" s="2">
        <v>8.7837999999999999E-2</v>
      </c>
      <c r="I509" s="2">
        <v>9.6319999999999999E-3</v>
      </c>
      <c r="J509" s="2">
        <v>1.6428000000000002E-2</v>
      </c>
      <c r="K509" s="2">
        <v>5.3906000000000003E-2</v>
      </c>
      <c r="L509" s="2">
        <v>0.418624</v>
      </c>
      <c r="M509" s="2">
        <v>0.58642799999999995</v>
      </c>
      <c r="N509" s="2">
        <v>7.49254</v>
      </c>
    </row>
    <row r="510" spans="1:14" x14ac:dyDescent="0.35">
      <c r="A510" s="2" t="s">
        <v>517</v>
      </c>
      <c r="B510" s="3">
        <f t="shared" si="7"/>
        <v>41821</v>
      </c>
      <c r="C510" s="2">
        <v>1.70228</v>
      </c>
      <c r="D510" s="2">
        <v>1.935907</v>
      </c>
      <c r="E510" s="2">
        <v>2.9827710000000001</v>
      </c>
      <c r="F510" s="2">
        <v>6.61897</v>
      </c>
      <c r="G510" s="2">
        <v>0.75242200000000004</v>
      </c>
      <c r="H510" s="2">
        <v>8.3107E-2</v>
      </c>
      <c r="I510" s="2">
        <v>9.8960000000000003E-3</v>
      </c>
      <c r="J510" s="2">
        <v>1.6395E-2</v>
      </c>
      <c r="K510" s="2">
        <v>4.1583000000000002E-2</v>
      </c>
      <c r="L510" s="2">
        <v>0.43392399999999998</v>
      </c>
      <c r="M510" s="2">
        <v>0.58490600000000004</v>
      </c>
      <c r="N510" s="2">
        <v>7.9742730000000002</v>
      </c>
    </row>
    <row r="511" spans="1:14" x14ac:dyDescent="0.35">
      <c r="A511" s="2" t="s">
        <v>518</v>
      </c>
      <c r="B511" s="3">
        <f t="shared" si="7"/>
        <v>41852</v>
      </c>
      <c r="C511" s="2">
        <v>1.6935500000000001</v>
      </c>
      <c r="D511" s="2">
        <v>1.989587</v>
      </c>
      <c r="E511" s="2">
        <v>2.982831</v>
      </c>
      <c r="F511" s="2">
        <v>6.6629779999999998</v>
      </c>
      <c r="G511" s="2">
        <v>0.74393600000000004</v>
      </c>
      <c r="H511" s="2">
        <v>6.7582000000000003E-2</v>
      </c>
      <c r="I511" s="2">
        <v>9.9279999999999993E-3</v>
      </c>
      <c r="J511" s="2">
        <v>1.6624E-2</v>
      </c>
      <c r="K511" s="2">
        <v>3.4701999999999997E-2</v>
      </c>
      <c r="L511" s="2">
        <v>0.43373800000000001</v>
      </c>
      <c r="M511" s="2">
        <v>0.56257500000000005</v>
      </c>
      <c r="N511" s="2">
        <v>7.9893289999999997</v>
      </c>
    </row>
    <row r="512" spans="1:14" x14ac:dyDescent="0.35">
      <c r="A512" s="2" t="s">
        <v>519</v>
      </c>
      <c r="B512" s="3">
        <f t="shared" si="7"/>
        <v>41883</v>
      </c>
      <c r="C512" s="2">
        <v>1.456971</v>
      </c>
      <c r="D512" s="2">
        <v>1.8620300000000001</v>
      </c>
      <c r="E512" s="2">
        <v>2.8739330000000001</v>
      </c>
      <c r="F512" s="2">
        <v>6.1903740000000003</v>
      </c>
      <c r="G512" s="2">
        <v>0.70634300000000005</v>
      </c>
      <c r="H512" s="2">
        <v>5.4845999999999999E-2</v>
      </c>
      <c r="I512" s="2">
        <v>9.6799999999999994E-3</v>
      </c>
      <c r="J512" s="2">
        <v>1.5630999999999999E-2</v>
      </c>
      <c r="K512" s="2">
        <v>3.9305E-2</v>
      </c>
      <c r="L512" s="2">
        <v>0.40984199999999998</v>
      </c>
      <c r="M512" s="2">
        <v>0.52930500000000003</v>
      </c>
      <c r="N512" s="2">
        <v>7.4439979999999997</v>
      </c>
    </row>
    <row r="513" spans="1:14" x14ac:dyDescent="0.35">
      <c r="A513" s="2" t="s">
        <v>520</v>
      </c>
      <c r="B513" s="3">
        <f t="shared" si="7"/>
        <v>41913</v>
      </c>
      <c r="C513" s="2">
        <v>1.3040130000000001</v>
      </c>
      <c r="D513" s="2">
        <v>1.9686360000000001</v>
      </c>
      <c r="E513" s="2">
        <v>3.0407510000000002</v>
      </c>
      <c r="F513" s="2">
        <v>6.3114860000000004</v>
      </c>
      <c r="G513" s="2">
        <v>0.65254699999999999</v>
      </c>
      <c r="H513" s="2">
        <v>5.8547000000000002E-2</v>
      </c>
      <c r="I513" s="2">
        <v>9.9830000000000006E-3</v>
      </c>
      <c r="J513" s="2">
        <v>1.4507000000000001E-2</v>
      </c>
      <c r="K513" s="2">
        <v>4.9501000000000003E-2</v>
      </c>
      <c r="L513" s="2">
        <v>0.425622</v>
      </c>
      <c r="M513" s="2">
        <v>0.55815999999999999</v>
      </c>
      <c r="N513" s="2">
        <v>7.5372769999999996</v>
      </c>
    </row>
    <row r="514" spans="1:14" x14ac:dyDescent="0.35">
      <c r="A514" s="2" t="s">
        <v>521</v>
      </c>
      <c r="B514" s="3">
        <f t="shared" si="7"/>
        <v>41944</v>
      </c>
      <c r="C514" s="2">
        <v>1.3758049999999999</v>
      </c>
      <c r="D514" s="2">
        <v>2.427781</v>
      </c>
      <c r="E514" s="2">
        <v>2.8778000000000001</v>
      </c>
      <c r="F514" s="2">
        <v>6.6792290000000003</v>
      </c>
      <c r="G514" s="2">
        <v>0.68130100000000005</v>
      </c>
      <c r="H514" s="2">
        <v>6.3547999999999993E-2</v>
      </c>
      <c r="I514" s="2">
        <v>9.868E-3</v>
      </c>
      <c r="J514" s="2">
        <v>1.1805E-2</v>
      </c>
      <c r="K514" s="2">
        <v>6.4374000000000001E-2</v>
      </c>
      <c r="L514" s="2">
        <v>0.41623500000000002</v>
      </c>
      <c r="M514" s="2">
        <v>0.56583000000000006</v>
      </c>
      <c r="N514" s="2">
        <v>7.9424229999999998</v>
      </c>
    </row>
    <row r="515" spans="1:14" x14ac:dyDescent="0.35">
      <c r="A515" s="2" t="s">
        <v>522</v>
      </c>
      <c r="B515" s="3">
        <f t="shared" si="7"/>
        <v>41974</v>
      </c>
      <c r="C515" s="2">
        <v>1.439824</v>
      </c>
      <c r="D515" s="2">
        <v>2.7595040000000002</v>
      </c>
      <c r="E515" s="2">
        <v>2.984391</v>
      </c>
      <c r="F515" s="2">
        <v>7.1805979999999998</v>
      </c>
      <c r="G515" s="2">
        <v>0.76729899999999995</v>
      </c>
      <c r="H515" s="2">
        <v>7.6186000000000004E-2</v>
      </c>
      <c r="I515" s="2">
        <v>1.0085E-2</v>
      </c>
      <c r="J515" s="2">
        <v>1.0387E-2</v>
      </c>
      <c r="K515" s="2">
        <v>5.0194999999999997E-2</v>
      </c>
      <c r="L515" s="2">
        <v>0.43846600000000002</v>
      </c>
      <c r="M515" s="2">
        <v>0.585318</v>
      </c>
      <c r="N515" s="2">
        <v>8.5478559999999995</v>
      </c>
    </row>
    <row r="516" spans="1:14" x14ac:dyDescent="0.35">
      <c r="A516" s="2" t="s">
        <v>523</v>
      </c>
      <c r="B516" s="3">
        <f t="shared" si="7"/>
        <v>42005</v>
      </c>
      <c r="C516" s="2">
        <v>1.498062</v>
      </c>
      <c r="D516" s="2">
        <v>3.2251210000000001</v>
      </c>
      <c r="E516" s="2">
        <v>2.961414</v>
      </c>
      <c r="F516" s="2">
        <v>7.6825369999999999</v>
      </c>
      <c r="G516" s="2">
        <v>0.77671500000000004</v>
      </c>
      <c r="H516" s="2">
        <v>8.2360000000000003E-2</v>
      </c>
      <c r="I516" s="2">
        <v>1.004E-2</v>
      </c>
      <c r="J516" s="2">
        <v>9.8150000000000008E-3</v>
      </c>
      <c r="K516" s="2">
        <v>5.1733000000000001E-2</v>
      </c>
      <c r="L516" s="2">
        <v>0.411721</v>
      </c>
      <c r="M516" s="2">
        <v>0.56567000000000001</v>
      </c>
      <c r="N516" s="2">
        <v>9.0427379999999999</v>
      </c>
    </row>
    <row r="517" spans="1:14" x14ac:dyDescent="0.35">
      <c r="A517" s="2" t="s">
        <v>524</v>
      </c>
      <c r="B517" s="3">
        <f t="shared" si="7"/>
        <v>42036</v>
      </c>
      <c r="C517" s="2">
        <v>1.4088909999999999</v>
      </c>
      <c r="D517" s="2">
        <v>3.0287600000000001</v>
      </c>
      <c r="E517" s="2">
        <v>2.7229459999999999</v>
      </c>
      <c r="F517" s="2">
        <v>7.1593520000000002</v>
      </c>
      <c r="G517" s="2">
        <v>0.66368000000000005</v>
      </c>
      <c r="H517" s="2">
        <v>7.6039999999999996E-2</v>
      </c>
      <c r="I517" s="2">
        <v>9.1710000000000003E-3</v>
      </c>
      <c r="J517" s="2">
        <v>1.1480000000000001E-2</v>
      </c>
      <c r="K517" s="2">
        <v>5.0911999999999999E-2</v>
      </c>
      <c r="L517" s="2">
        <v>0.38109799999999999</v>
      </c>
      <c r="M517" s="2">
        <v>0.52870099999999998</v>
      </c>
      <c r="N517" s="2">
        <v>8.3661279999999998</v>
      </c>
    </row>
    <row r="518" spans="1:14" x14ac:dyDescent="0.35">
      <c r="A518" s="2" t="s">
        <v>525</v>
      </c>
      <c r="B518" s="3">
        <f t="shared" si="7"/>
        <v>42064</v>
      </c>
      <c r="C518" s="2">
        <v>1.238275</v>
      </c>
      <c r="D518" s="2">
        <v>2.682045</v>
      </c>
      <c r="E518" s="2">
        <v>2.9793630000000002</v>
      </c>
      <c r="F518" s="2">
        <v>6.8990309999999999</v>
      </c>
      <c r="G518" s="2">
        <v>0.67503000000000002</v>
      </c>
      <c r="H518" s="2">
        <v>8.2846000000000003E-2</v>
      </c>
      <c r="I518" s="2">
        <v>1.0149E-2</v>
      </c>
      <c r="J518" s="2">
        <v>1.5989E-2</v>
      </c>
      <c r="K518" s="2">
        <v>5.2231E-2</v>
      </c>
      <c r="L518" s="2">
        <v>0.41394199999999998</v>
      </c>
      <c r="M518" s="2">
        <v>0.57515700000000003</v>
      </c>
      <c r="N518" s="2">
        <v>8.1686270000000007</v>
      </c>
    </row>
    <row r="519" spans="1:14" x14ac:dyDescent="0.35">
      <c r="A519" s="2" t="s">
        <v>526</v>
      </c>
      <c r="B519" s="3">
        <f t="shared" si="7"/>
        <v>42095</v>
      </c>
      <c r="C519" s="2">
        <v>1.0365869999999999</v>
      </c>
      <c r="D519" s="2">
        <v>2.0771470000000001</v>
      </c>
      <c r="E519" s="2">
        <v>2.8723619999999999</v>
      </c>
      <c r="F519" s="2">
        <v>5.984159</v>
      </c>
      <c r="G519" s="2">
        <v>0.62522599999999995</v>
      </c>
      <c r="H519" s="2">
        <v>7.6671000000000003E-2</v>
      </c>
      <c r="I519" s="2">
        <v>9.5610000000000001E-3</v>
      </c>
      <c r="J519" s="2">
        <v>1.8058000000000001E-2</v>
      </c>
      <c r="K519" s="2">
        <v>6.0963000000000003E-2</v>
      </c>
      <c r="L519" s="2">
        <v>0.40220899999999998</v>
      </c>
      <c r="M519" s="2">
        <v>0.56746099999999999</v>
      </c>
      <c r="N519" s="2">
        <v>7.1971239999999996</v>
      </c>
    </row>
    <row r="520" spans="1:14" x14ac:dyDescent="0.35">
      <c r="A520" s="2" t="s">
        <v>527</v>
      </c>
      <c r="B520" s="3">
        <f t="shared" si="7"/>
        <v>42125</v>
      </c>
      <c r="C520" s="2">
        <v>1.206388</v>
      </c>
      <c r="D520" s="2">
        <v>1.92174</v>
      </c>
      <c r="E520" s="2">
        <v>2.9753750000000001</v>
      </c>
      <c r="F520" s="2">
        <v>6.1010030000000004</v>
      </c>
      <c r="G520" s="2">
        <v>0.68841399999999997</v>
      </c>
      <c r="H520" s="2">
        <v>6.8668000000000007E-2</v>
      </c>
      <c r="I520" s="2">
        <v>1.0135999999999999E-2</v>
      </c>
      <c r="J520" s="2">
        <v>1.951E-2</v>
      </c>
      <c r="K520" s="2">
        <v>5.8520000000000003E-2</v>
      </c>
      <c r="L520" s="2">
        <v>0.42355199999999998</v>
      </c>
      <c r="M520" s="2">
        <v>0.58038599999999996</v>
      </c>
      <c r="N520" s="2">
        <v>7.3902999999999999</v>
      </c>
    </row>
    <row r="521" spans="1:14" x14ac:dyDescent="0.35">
      <c r="A521" s="2" t="s">
        <v>528</v>
      </c>
      <c r="B521" s="3">
        <f t="shared" si="7"/>
        <v>42156</v>
      </c>
      <c r="C521" s="2">
        <v>1.4386460000000001</v>
      </c>
      <c r="D521" s="2">
        <v>1.965222</v>
      </c>
      <c r="E521" s="2">
        <v>2.9593959999999999</v>
      </c>
      <c r="F521" s="2">
        <v>6.3604399999999996</v>
      </c>
      <c r="G521" s="2">
        <v>0.71654200000000001</v>
      </c>
      <c r="H521" s="2">
        <v>6.9653000000000007E-2</v>
      </c>
      <c r="I521" s="2">
        <v>9.6600000000000002E-3</v>
      </c>
      <c r="J521" s="2">
        <v>1.9803999999999999E-2</v>
      </c>
      <c r="K521" s="2">
        <v>4.5793E-2</v>
      </c>
      <c r="L521" s="2">
        <v>0.42125800000000002</v>
      </c>
      <c r="M521" s="2">
        <v>0.566168</v>
      </c>
      <c r="N521" s="2">
        <v>7.6638849999999996</v>
      </c>
    </row>
    <row r="522" spans="1:14" x14ac:dyDescent="0.35">
      <c r="A522" s="2" t="s">
        <v>529</v>
      </c>
      <c r="B522" s="3">
        <f t="shared" si="7"/>
        <v>42186</v>
      </c>
      <c r="C522" s="2">
        <v>1.5867880000000001</v>
      </c>
      <c r="D522" s="2">
        <v>2.1390570000000002</v>
      </c>
      <c r="E522" s="2">
        <v>3.1096819999999998</v>
      </c>
      <c r="F522" s="2">
        <v>6.8347540000000002</v>
      </c>
      <c r="G522" s="2">
        <v>0.74682899999999997</v>
      </c>
      <c r="H522" s="2">
        <v>7.1701000000000001E-2</v>
      </c>
      <c r="I522" s="2">
        <v>1.0022E-2</v>
      </c>
      <c r="J522" s="2">
        <v>2.0660000000000001E-2</v>
      </c>
      <c r="K522" s="2">
        <v>4.6661000000000001E-2</v>
      </c>
      <c r="L522" s="2">
        <v>0.43632399999999999</v>
      </c>
      <c r="M522" s="2">
        <v>0.585368</v>
      </c>
      <c r="N522" s="2">
        <v>8.1882730000000006</v>
      </c>
    </row>
    <row r="523" spans="1:14" x14ac:dyDescent="0.35">
      <c r="A523" s="2" t="s">
        <v>530</v>
      </c>
      <c r="B523" s="3">
        <f t="shared" si="7"/>
        <v>42217</v>
      </c>
      <c r="C523" s="2">
        <v>1.5307869999999999</v>
      </c>
      <c r="D523" s="2">
        <v>2.12351</v>
      </c>
      <c r="E523" s="2">
        <v>3.0767880000000001</v>
      </c>
      <c r="F523" s="2">
        <v>6.7298720000000003</v>
      </c>
      <c r="G523" s="2">
        <v>0.75731999999999999</v>
      </c>
      <c r="H523" s="2">
        <v>6.5244999999999997E-2</v>
      </c>
      <c r="I523" s="2">
        <v>9.979E-3</v>
      </c>
      <c r="J523" s="2">
        <v>2.0719999999999999E-2</v>
      </c>
      <c r="K523" s="2">
        <v>4.4629000000000002E-2</v>
      </c>
      <c r="L523" s="2">
        <v>0.43589499999999998</v>
      </c>
      <c r="M523" s="2">
        <v>0.57646799999999998</v>
      </c>
      <c r="N523" s="2">
        <v>8.0858760000000007</v>
      </c>
    </row>
    <row r="524" spans="1:14" x14ac:dyDescent="0.35">
      <c r="A524" s="2" t="s">
        <v>531</v>
      </c>
      <c r="B524" s="3">
        <f t="shared" si="7"/>
        <v>42248</v>
      </c>
      <c r="C524" s="2">
        <v>1.351456</v>
      </c>
      <c r="D524" s="2">
        <v>1.966653</v>
      </c>
      <c r="E524" s="2">
        <v>2.8968060000000002</v>
      </c>
      <c r="F524" s="2">
        <v>6.2149510000000001</v>
      </c>
      <c r="G524" s="2">
        <v>0.69520999999999999</v>
      </c>
      <c r="H524" s="2">
        <v>5.4912999999999997E-2</v>
      </c>
      <c r="I524" s="2">
        <v>9.3229999999999997E-3</v>
      </c>
      <c r="J524" s="2">
        <v>1.8026E-2</v>
      </c>
      <c r="K524" s="2">
        <v>4.7670999999999998E-2</v>
      </c>
      <c r="L524" s="2">
        <v>0.41661799999999999</v>
      </c>
      <c r="M524" s="2">
        <v>0.54655200000000004</v>
      </c>
      <c r="N524" s="2">
        <v>7.4768509999999999</v>
      </c>
    </row>
    <row r="525" spans="1:14" x14ac:dyDescent="0.35">
      <c r="A525" s="2" t="s">
        <v>532</v>
      </c>
      <c r="B525" s="3">
        <f t="shared" ref="B525:B588" si="8">DATEVALUE(MID(A525, 6, 20) &amp; " 1, " &amp; LEFT(A525, 4))</f>
        <v>42278</v>
      </c>
      <c r="C525" s="2">
        <v>1.137837</v>
      </c>
      <c r="D525" s="2">
        <v>2.0556760000000001</v>
      </c>
      <c r="E525" s="2">
        <v>2.9929679999999999</v>
      </c>
      <c r="F525" s="2">
        <v>6.1848229999999997</v>
      </c>
      <c r="G525" s="2">
        <v>0.63345099999999999</v>
      </c>
      <c r="H525" s="2">
        <v>5.6743000000000002E-2</v>
      </c>
      <c r="I525" s="2">
        <v>9.9069999999999991E-3</v>
      </c>
      <c r="J525" s="2">
        <v>1.5938000000000001E-2</v>
      </c>
      <c r="K525" s="2">
        <v>5.5889000000000001E-2</v>
      </c>
      <c r="L525" s="2">
        <v>0.41883599999999999</v>
      </c>
      <c r="M525" s="2">
        <v>0.55731399999999998</v>
      </c>
      <c r="N525" s="2">
        <v>7.3911600000000002</v>
      </c>
    </row>
    <row r="526" spans="1:14" x14ac:dyDescent="0.35">
      <c r="A526" s="2" t="s">
        <v>533</v>
      </c>
      <c r="B526" s="3">
        <f t="shared" si="8"/>
        <v>42309</v>
      </c>
      <c r="C526" s="2">
        <v>1.0450140000000001</v>
      </c>
      <c r="D526" s="2">
        <v>2.3273799999999998</v>
      </c>
      <c r="E526" s="2">
        <v>2.8277070000000002</v>
      </c>
      <c r="F526" s="2">
        <v>6.197692</v>
      </c>
      <c r="G526" s="2">
        <v>0.63024000000000002</v>
      </c>
      <c r="H526" s="2">
        <v>6.5980999999999998E-2</v>
      </c>
      <c r="I526" s="2">
        <v>9.7699999999999992E-3</v>
      </c>
      <c r="J526" s="2">
        <v>1.3627999999999999E-2</v>
      </c>
      <c r="K526" s="2">
        <v>6.7154000000000005E-2</v>
      </c>
      <c r="L526" s="2">
        <v>0.415574</v>
      </c>
      <c r="M526" s="2">
        <v>0.57210700000000003</v>
      </c>
      <c r="N526" s="2">
        <v>7.4177390000000001</v>
      </c>
    </row>
    <row r="527" spans="1:14" x14ac:dyDescent="0.35">
      <c r="A527" s="2" t="s">
        <v>534</v>
      </c>
      <c r="B527" s="3">
        <f t="shared" si="8"/>
        <v>42339</v>
      </c>
      <c r="C527" s="2">
        <v>1.0701369999999999</v>
      </c>
      <c r="D527" s="2">
        <v>2.678785</v>
      </c>
      <c r="E527" s="2">
        <v>2.9932919999999998</v>
      </c>
      <c r="F527" s="2">
        <v>6.7416729999999996</v>
      </c>
      <c r="G527" s="2">
        <v>0.72822900000000002</v>
      </c>
      <c r="H527" s="2">
        <v>7.9041E-2</v>
      </c>
      <c r="I527" s="2">
        <v>1.0090999999999999E-2</v>
      </c>
      <c r="J527" s="2">
        <v>1.2547000000000001E-2</v>
      </c>
      <c r="K527" s="2">
        <v>6.8575999999999998E-2</v>
      </c>
      <c r="L527" s="2">
        <v>0.43149500000000002</v>
      </c>
      <c r="M527" s="2">
        <v>0.60175000000000001</v>
      </c>
      <c r="N527" s="2">
        <v>8.0890550000000001</v>
      </c>
    </row>
    <row r="528" spans="1:14" x14ac:dyDescent="0.35">
      <c r="A528" s="2" t="s">
        <v>535</v>
      </c>
      <c r="B528" s="3">
        <f t="shared" si="8"/>
        <v>42370</v>
      </c>
      <c r="C528" s="2">
        <v>1.29718</v>
      </c>
      <c r="D528" s="2">
        <v>3.2009989999999999</v>
      </c>
      <c r="E528" s="2">
        <v>2.9180220000000001</v>
      </c>
      <c r="F528" s="2">
        <v>7.415254</v>
      </c>
      <c r="G528" s="2">
        <v>0.75853700000000002</v>
      </c>
      <c r="H528" s="2">
        <v>8.7397000000000002E-2</v>
      </c>
      <c r="I528" s="2">
        <v>9.9229999999999995E-3</v>
      </c>
      <c r="J528" s="2">
        <v>1.1728000000000001E-2</v>
      </c>
      <c r="K528" s="2">
        <v>6.3006999999999994E-2</v>
      </c>
      <c r="L528" s="2">
        <v>0.40832400000000002</v>
      </c>
      <c r="M528" s="2">
        <v>0.58037899999999998</v>
      </c>
      <c r="N528" s="2">
        <v>8.7751009999999994</v>
      </c>
    </row>
    <row r="529" spans="1:14" x14ac:dyDescent="0.35">
      <c r="A529" s="2" t="s">
        <v>536</v>
      </c>
      <c r="B529" s="3">
        <f t="shared" si="8"/>
        <v>42401</v>
      </c>
      <c r="C529" s="2">
        <v>1.0743450000000001</v>
      </c>
      <c r="D529" s="2">
        <v>2.7455660000000002</v>
      </c>
      <c r="E529" s="2">
        <v>2.844096</v>
      </c>
      <c r="F529" s="2">
        <v>6.6637409999999999</v>
      </c>
      <c r="G529" s="2">
        <v>0.68650900000000004</v>
      </c>
      <c r="H529" s="2">
        <v>8.2362000000000005E-2</v>
      </c>
      <c r="I529" s="2">
        <v>9.2739999999999993E-3</v>
      </c>
      <c r="J529" s="2">
        <v>1.5428000000000001E-2</v>
      </c>
      <c r="K529" s="2">
        <v>6.8711999999999995E-2</v>
      </c>
      <c r="L529" s="2">
        <v>0.39674700000000002</v>
      </c>
      <c r="M529" s="2">
        <v>0.572523</v>
      </c>
      <c r="N529" s="2">
        <v>7.9394270000000002</v>
      </c>
    </row>
    <row r="530" spans="1:14" x14ac:dyDescent="0.35">
      <c r="A530" s="2" t="s">
        <v>537</v>
      </c>
      <c r="B530" s="3">
        <f t="shared" si="8"/>
        <v>42430</v>
      </c>
      <c r="C530" s="2">
        <v>0.86737699999999995</v>
      </c>
      <c r="D530" s="2">
        <v>2.4383810000000001</v>
      </c>
      <c r="E530" s="2">
        <v>3.0316179999999999</v>
      </c>
      <c r="F530" s="2">
        <v>6.3369</v>
      </c>
      <c r="G530" s="2">
        <v>0.69185099999999999</v>
      </c>
      <c r="H530" s="2">
        <v>9.3453999999999995E-2</v>
      </c>
      <c r="I530" s="2">
        <v>9.8659999999999998E-3</v>
      </c>
      <c r="J530" s="2">
        <v>1.9297000000000002E-2</v>
      </c>
      <c r="K530" s="2">
        <v>7.4857000000000007E-2</v>
      </c>
      <c r="L530" s="2">
        <v>0.41960700000000001</v>
      </c>
      <c r="M530" s="2">
        <v>0.61708200000000002</v>
      </c>
      <c r="N530" s="2">
        <v>7.6633639999999996</v>
      </c>
    </row>
    <row r="531" spans="1:14" x14ac:dyDescent="0.35">
      <c r="A531" s="2" t="s">
        <v>538</v>
      </c>
      <c r="B531" s="3">
        <f t="shared" si="8"/>
        <v>42461</v>
      </c>
      <c r="C531" s="2">
        <v>0.84420399999999995</v>
      </c>
      <c r="D531" s="2">
        <v>2.1560190000000001</v>
      </c>
      <c r="E531" s="2">
        <v>2.8869590000000001</v>
      </c>
      <c r="F531" s="2">
        <v>5.8860450000000002</v>
      </c>
      <c r="G531" s="2">
        <v>0.65611200000000003</v>
      </c>
      <c r="H531" s="2">
        <v>8.8295999999999999E-2</v>
      </c>
      <c r="I531" s="2">
        <v>9.3299999999999998E-3</v>
      </c>
      <c r="J531" s="2">
        <v>2.1401E-2</v>
      </c>
      <c r="K531" s="2">
        <v>7.0967000000000002E-2</v>
      </c>
      <c r="L531" s="2">
        <v>0.39320699999999997</v>
      </c>
      <c r="M531" s="2">
        <v>0.58320000000000005</v>
      </c>
      <c r="N531" s="2">
        <v>7.1398659999999996</v>
      </c>
    </row>
    <row r="532" spans="1:14" x14ac:dyDescent="0.35">
      <c r="A532" s="2" t="s">
        <v>539</v>
      </c>
      <c r="B532" s="3">
        <f t="shared" si="8"/>
        <v>42491</v>
      </c>
      <c r="C532" s="2">
        <v>0.96016400000000002</v>
      </c>
      <c r="D532" s="2">
        <v>2.0334970000000001</v>
      </c>
      <c r="E532" s="2">
        <v>2.9659399999999998</v>
      </c>
      <c r="F532" s="2">
        <v>5.9588270000000003</v>
      </c>
      <c r="G532" s="2">
        <v>0.69632400000000005</v>
      </c>
      <c r="H532" s="2">
        <v>8.6959999999999996E-2</v>
      </c>
      <c r="I532" s="2">
        <v>9.9570000000000006E-3</v>
      </c>
      <c r="J532" s="2">
        <v>2.4459000000000002E-2</v>
      </c>
      <c r="K532" s="2">
        <v>6.4309000000000005E-2</v>
      </c>
      <c r="L532" s="2">
        <v>0.42049900000000001</v>
      </c>
      <c r="M532" s="2">
        <v>0.60618300000000003</v>
      </c>
      <c r="N532" s="2">
        <v>7.279045</v>
      </c>
    </row>
    <row r="533" spans="1:14" x14ac:dyDescent="0.35">
      <c r="A533" s="2" t="s">
        <v>540</v>
      </c>
      <c r="B533" s="3">
        <f t="shared" si="8"/>
        <v>42522</v>
      </c>
      <c r="C533" s="2">
        <v>1.314479</v>
      </c>
      <c r="D533" s="2">
        <v>2.069855</v>
      </c>
      <c r="E533" s="2">
        <v>2.9634209999999999</v>
      </c>
      <c r="F533" s="2">
        <v>6.3478120000000002</v>
      </c>
      <c r="G533" s="2">
        <v>0.70258699999999996</v>
      </c>
      <c r="H533" s="2">
        <v>7.9283999999999993E-2</v>
      </c>
      <c r="I533" s="2">
        <v>9.4750000000000008E-3</v>
      </c>
      <c r="J533" s="2">
        <v>2.4955000000000001E-2</v>
      </c>
      <c r="K533" s="2">
        <v>5.5627000000000003E-2</v>
      </c>
      <c r="L533" s="2">
        <v>0.41852499999999998</v>
      </c>
      <c r="M533" s="2">
        <v>0.587866</v>
      </c>
      <c r="N533" s="2">
        <v>7.6592079999999996</v>
      </c>
    </row>
    <row r="534" spans="1:14" x14ac:dyDescent="0.35">
      <c r="A534" s="2" t="s">
        <v>541</v>
      </c>
      <c r="B534" s="3">
        <f t="shared" si="8"/>
        <v>42552</v>
      </c>
      <c r="C534" s="2">
        <v>1.5288649999999999</v>
      </c>
      <c r="D534" s="2">
        <v>2.2624949999999999</v>
      </c>
      <c r="E534" s="2">
        <v>3.0345209999999998</v>
      </c>
      <c r="F534" s="2">
        <v>6.824567</v>
      </c>
      <c r="G534" s="2">
        <v>0.73578399999999999</v>
      </c>
      <c r="H534" s="2">
        <v>7.3205999999999993E-2</v>
      </c>
      <c r="I534" s="2">
        <v>9.8519999999999996E-3</v>
      </c>
      <c r="J534" s="2">
        <v>2.7056E-2</v>
      </c>
      <c r="K534" s="2">
        <v>6.0114000000000001E-2</v>
      </c>
      <c r="L534" s="2">
        <v>0.43466300000000002</v>
      </c>
      <c r="M534" s="2">
        <v>0.60489099999999996</v>
      </c>
      <c r="N534" s="2">
        <v>8.1894639999999992</v>
      </c>
    </row>
    <row r="535" spans="1:14" x14ac:dyDescent="0.35">
      <c r="A535" s="2" t="s">
        <v>542</v>
      </c>
      <c r="B535" s="3">
        <f t="shared" si="8"/>
        <v>42583</v>
      </c>
      <c r="C535" s="2">
        <v>1.5211980000000001</v>
      </c>
      <c r="D535" s="2">
        <v>2.2850980000000001</v>
      </c>
      <c r="E535" s="2">
        <v>3.12859</v>
      </c>
      <c r="F535" s="2">
        <v>6.9323249999999996</v>
      </c>
      <c r="G535" s="2">
        <v>0.74809499999999995</v>
      </c>
      <c r="H535" s="2">
        <v>6.6770999999999997E-2</v>
      </c>
      <c r="I535" s="2">
        <v>9.8969999999999995E-3</v>
      </c>
      <c r="J535" s="2">
        <v>2.6741000000000001E-2</v>
      </c>
      <c r="K535" s="2">
        <v>4.6366999999999998E-2</v>
      </c>
      <c r="L535" s="2">
        <v>0.44114100000000001</v>
      </c>
      <c r="M535" s="2">
        <v>0.590916</v>
      </c>
      <c r="N535" s="2">
        <v>8.2944089999999999</v>
      </c>
    </row>
    <row r="536" spans="1:14" x14ac:dyDescent="0.35">
      <c r="A536" s="2" t="s">
        <v>543</v>
      </c>
      <c r="B536" s="3">
        <f t="shared" si="8"/>
        <v>42614</v>
      </c>
      <c r="C536" s="2">
        <v>1.2962590000000001</v>
      </c>
      <c r="D536" s="2">
        <v>2.0150239999999999</v>
      </c>
      <c r="E536" s="2">
        <v>2.9417759999999999</v>
      </c>
      <c r="F536" s="2">
        <v>6.2515140000000002</v>
      </c>
      <c r="G536" s="2">
        <v>0.68452199999999996</v>
      </c>
      <c r="H536" s="2">
        <v>5.5847000000000001E-2</v>
      </c>
      <c r="I536" s="2">
        <v>9.7319999999999993E-3</v>
      </c>
      <c r="J536" s="2">
        <v>2.4198999999999998E-2</v>
      </c>
      <c r="K536" s="2">
        <v>5.5968999999999998E-2</v>
      </c>
      <c r="L536" s="2">
        <v>0.41585800000000001</v>
      </c>
      <c r="M536" s="2">
        <v>0.56160399999999999</v>
      </c>
      <c r="N536" s="2">
        <v>7.5137130000000001</v>
      </c>
    </row>
    <row r="537" spans="1:14" x14ac:dyDescent="0.35">
      <c r="A537" s="2" t="s">
        <v>544</v>
      </c>
      <c r="B537" s="3">
        <f t="shared" si="8"/>
        <v>42644</v>
      </c>
      <c r="C537" s="2">
        <v>1.1471610000000001</v>
      </c>
      <c r="D537" s="2">
        <v>1.9914989999999999</v>
      </c>
      <c r="E537" s="2">
        <v>3.0251100000000002</v>
      </c>
      <c r="F537" s="2">
        <v>6.1606959999999997</v>
      </c>
      <c r="G537" s="2">
        <v>0.63521000000000005</v>
      </c>
      <c r="H537" s="2">
        <v>5.9159999999999997E-2</v>
      </c>
      <c r="I537" s="2">
        <v>9.9950000000000004E-3</v>
      </c>
      <c r="J537" s="2">
        <v>2.1437999999999999E-2</v>
      </c>
      <c r="K537" s="2">
        <v>6.9384000000000001E-2</v>
      </c>
      <c r="L537" s="2">
        <v>0.41925099999999998</v>
      </c>
      <c r="M537" s="2">
        <v>0.57922899999999999</v>
      </c>
      <c r="N537" s="2">
        <v>7.3932830000000003</v>
      </c>
    </row>
    <row r="538" spans="1:14" x14ac:dyDescent="0.35">
      <c r="A538" s="2" t="s">
        <v>545</v>
      </c>
      <c r="B538" s="3">
        <f t="shared" si="8"/>
        <v>42675</v>
      </c>
      <c r="C538" s="2">
        <v>1.0222439999999999</v>
      </c>
      <c r="D538" s="2">
        <v>2.234524</v>
      </c>
      <c r="E538" s="2">
        <v>2.9193850000000001</v>
      </c>
      <c r="F538" s="2">
        <v>6.1713329999999997</v>
      </c>
      <c r="G538" s="2">
        <v>0.68170500000000001</v>
      </c>
      <c r="H538" s="2">
        <v>6.4173999999999995E-2</v>
      </c>
      <c r="I538" s="2">
        <v>9.8580000000000004E-3</v>
      </c>
      <c r="J538" s="2">
        <v>1.7985000000000001E-2</v>
      </c>
      <c r="K538" s="2">
        <v>6.6211999999999993E-2</v>
      </c>
      <c r="L538" s="2">
        <v>0.42568899999999998</v>
      </c>
      <c r="M538" s="2">
        <v>0.58391700000000002</v>
      </c>
      <c r="N538" s="2">
        <v>7.4574400000000001</v>
      </c>
    </row>
    <row r="539" spans="1:14" x14ac:dyDescent="0.35">
      <c r="A539" s="2" t="s">
        <v>546</v>
      </c>
      <c r="B539" s="3">
        <f t="shared" si="8"/>
        <v>42705</v>
      </c>
      <c r="C539" s="2">
        <v>1.352427</v>
      </c>
      <c r="D539" s="2">
        <v>2.9673989999999999</v>
      </c>
      <c r="E539" s="2">
        <v>3.052454</v>
      </c>
      <c r="F539" s="2">
        <v>7.37</v>
      </c>
      <c r="G539" s="2">
        <v>0.74951699999999999</v>
      </c>
      <c r="H539" s="2">
        <v>7.6865000000000003E-2</v>
      </c>
      <c r="I539" s="2">
        <v>1.0338999999999999E-2</v>
      </c>
      <c r="J539" s="2">
        <v>1.6202000000000001E-2</v>
      </c>
      <c r="K539" s="2">
        <v>7.8973000000000002E-2</v>
      </c>
      <c r="L539" s="2">
        <v>0.45994400000000002</v>
      </c>
      <c r="M539" s="2">
        <v>0.64232199999999995</v>
      </c>
      <c r="N539" s="2">
        <v>8.7784680000000002</v>
      </c>
    </row>
    <row r="540" spans="1:14" x14ac:dyDescent="0.35">
      <c r="A540" s="2" t="s">
        <v>547</v>
      </c>
      <c r="B540" s="3">
        <f t="shared" si="8"/>
        <v>42736</v>
      </c>
      <c r="C540" s="2">
        <v>1.3127120000000001</v>
      </c>
      <c r="D540" s="2">
        <v>3.013738</v>
      </c>
      <c r="E540" s="2">
        <v>2.9556179999999999</v>
      </c>
      <c r="F540" s="2">
        <v>7.2788459999999997</v>
      </c>
      <c r="G540" s="2">
        <v>0.764768</v>
      </c>
      <c r="H540" s="2">
        <v>9.0854000000000004E-2</v>
      </c>
      <c r="I540" s="2">
        <v>1.0194E-2</v>
      </c>
      <c r="J540" s="2">
        <v>1.5554999999999999E-2</v>
      </c>
      <c r="K540" s="2">
        <v>7.0965E-2</v>
      </c>
      <c r="L540" s="2">
        <v>0.41713299999999998</v>
      </c>
      <c r="M540" s="2">
        <v>0.60470100000000004</v>
      </c>
      <c r="N540" s="2">
        <v>8.6706120000000002</v>
      </c>
    </row>
    <row r="541" spans="1:14" x14ac:dyDescent="0.35">
      <c r="A541" s="2" t="s">
        <v>548</v>
      </c>
      <c r="B541" s="3">
        <f t="shared" si="8"/>
        <v>42767</v>
      </c>
      <c r="C541" s="2">
        <v>1.011109</v>
      </c>
      <c r="D541" s="2">
        <v>2.419781</v>
      </c>
      <c r="E541" s="2">
        <v>2.646576</v>
      </c>
      <c r="F541" s="2">
        <v>6.0762660000000004</v>
      </c>
      <c r="G541" s="2">
        <v>0.66477799999999998</v>
      </c>
      <c r="H541" s="2">
        <v>8.1485000000000002E-2</v>
      </c>
      <c r="I541" s="2">
        <v>9.0980000000000002E-3</v>
      </c>
      <c r="J541" s="2">
        <v>1.7857000000000001E-2</v>
      </c>
      <c r="K541" s="2">
        <v>7.5374999999999998E-2</v>
      </c>
      <c r="L541" s="2">
        <v>0.38040800000000002</v>
      </c>
      <c r="M541" s="2">
        <v>0.56422300000000003</v>
      </c>
      <c r="N541" s="2">
        <v>7.3222670000000001</v>
      </c>
    </row>
    <row r="542" spans="1:14" x14ac:dyDescent="0.35">
      <c r="A542" s="2" t="s">
        <v>549</v>
      </c>
      <c r="B542" s="3">
        <f t="shared" si="8"/>
        <v>42795</v>
      </c>
      <c r="C542" s="2">
        <v>1.0293369999999999</v>
      </c>
      <c r="D542" s="2">
        <v>2.608851</v>
      </c>
      <c r="E542" s="2">
        <v>3.076851</v>
      </c>
      <c r="F542" s="2">
        <v>6.7135049999999996</v>
      </c>
      <c r="G542" s="2">
        <v>0.68081000000000003</v>
      </c>
      <c r="H542" s="2">
        <v>0.10104</v>
      </c>
      <c r="I542" s="2">
        <v>1.0126E-2</v>
      </c>
      <c r="J542" s="2">
        <v>2.7472E-2</v>
      </c>
      <c r="K542" s="2">
        <v>8.7792999999999996E-2</v>
      </c>
      <c r="L542" s="2">
        <v>0.42465599999999998</v>
      </c>
      <c r="M542" s="2">
        <v>0.651088</v>
      </c>
      <c r="N542" s="2">
        <v>8.0625470000000004</v>
      </c>
    </row>
    <row r="543" spans="1:14" x14ac:dyDescent="0.35">
      <c r="A543" s="2" t="s">
        <v>550</v>
      </c>
      <c r="B543" s="3">
        <f t="shared" si="8"/>
        <v>42826</v>
      </c>
      <c r="C543" s="2">
        <v>0.93745900000000004</v>
      </c>
      <c r="D543" s="2">
        <v>1.9961439999999999</v>
      </c>
      <c r="E543" s="2">
        <v>2.913214</v>
      </c>
      <c r="F543" s="2">
        <v>5.8454689999999996</v>
      </c>
      <c r="G543" s="2">
        <v>0.59347899999999998</v>
      </c>
      <c r="H543" s="2">
        <v>0.100345</v>
      </c>
      <c r="I543" s="2">
        <v>9.7949999999999999E-3</v>
      </c>
      <c r="J543" s="2">
        <v>3.0175E-2</v>
      </c>
      <c r="K543" s="2">
        <v>8.659E-2</v>
      </c>
      <c r="L543" s="2">
        <v>0.403584</v>
      </c>
      <c r="M543" s="2">
        <v>0.63048899999999997</v>
      </c>
      <c r="N543" s="2">
        <v>7.0846400000000003</v>
      </c>
    </row>
    <row r="544" spans="1:14" x14ac:dyDescent="0.35">
      <c r="A544" s="2" t="s">
        <v>551</v>
      </c>
      <c r="B544" s="3">
        <f t="shared" si="8"/>
        <v>42856</v>
      </c>
      <c r="C544" s="2">
        <v>1.065558</v>
      </c>
      <c r="D544" s="2">
        <v>1.9540120000000001</v>
      </c>
      <c r="E544" s="2">
        <v>3.079755</v>
      </c>
      <c r="F544" s="2">
        <v>6.0981189999999996</v>
      </c>
      <c r="G544" s="2">
        <v>0.64127000000000001</v>
      </c>
      <c r="H544" s="2">
        <v>0.11125500000000001</v>
      </c>
      <c r="I544" s="2">
        <v>9.835E-3</v>
      </c>
      <c r="J544" s="2">
        <v>3.4567000000000001E-2</v>
      </c>
      <c r="K544" s="2">
        <v>7.8706999999999999E-2</v>
      </c>
      <c r="L544" s="2">
        <v>0.42556100000000002</v>
      </c>
      <c r="M544" s="2">
        <v>0.65992499999999998</v>
      </c>
      <c r="N544" s="2">
        <v>7.413824</v>
      </c>
    </row>
    <row r="545" spans="1:14" x14ac:dyDescent="0.35">
      <c r="A545" s="2" t="s">
        <v>552</v>
      </c>
      <c r="B545" s="3">
        <f t="shared" si="8"/>
        <v>42887</v>
      </c>
      <c r="C545" s="2">
        <v>1.217991</v>
      </c>
      <c r="D545" s="2">
        <v>1.9729030000000001</v>
      </c>
      <c r="E545" s="2">
        <v>3.0563850000000001</v>
      </c>
      <c r="F545" s="2">
        <v>6.2447049999999997</v>
      </c>
      <c r="G545" s="2">
        <v>0.70086599999999999</v>
      </c>
      <c r="H545" s="2">
        <v>0.104323</v>
      </c>
      <c r="I545" s="2">
        <v>9.5989999999999999E-3</v>
      </c>
      <c r="J545" s="2">
        <v>3.6082999999999997E-2</v>
      </c>
      <c r="K545" s="2">
        <v>6.8723999999999993E-2</v>
      </c>
      <c r="L545" s="2">
        <v>0.42391000000000001</v>
      </c>
      <c r="M545" s="2">
        <v>0.64263999999999999</v>
      </c>
      <c r="N545" s="2">
        <v>7.6058899999999996</v>
      </c>
    </row>
    <row r="546" spans="1:14" x14ac:dyDescent="0.35">
      <c r="A546" s="2" t="s">
        <v>553</v>
      </c>
      <c r="B546" s="3">
        <f t="shared" si="8"/>
        <v>42917</v>
      </c>
      <c r="C546" s="2">
        <v>1.4325490000000001</v>
      </c>
      <c r="D546" s="2">
        <v>2.2124440000000001</v>
      </c>
      <c r="E546" s="2">
        <v>3.089753</v>
      </c>
      <c r="F546" s="2">
        <v>6.7335349999999998</v>
      </c>
      <c r="G546" s="2">
        <v>0.74587499999999995</v>
      </c>
      <c r="H546" s="2">
        <v>9.0753E-2</v>
      </c>
      <c r="I546" s="2">
        <v>1.0076999999999999E-2</v>
      </c>
      <c r="J546" s="2">
        <v>3.4634999999999999E-2</v>
      </c>
      <c r="K546" s="2">
        <v>5.5001000000000001E-2</v>
      </c>
      <c r="L546" s="2">
        <v>0.43002600000000002</v>
      </c>
      <c r="M546" s="2">
        <v>0.62049299999999996</v>
      </c>
      <c r="N546" s="2">
        <v>8.1176630000000003</v>
      </c>
    </row>
    <row r="547" spans="1:14" x14ac:dyDescent="0.35">
      <c r="A547" s="2" t="s">
        <v>554</v>
      </c>
      <c r="B547" s="3">
        <f t="shared" si="8"/>
        <v>42948</v>
      </c>
      <c r="C547" s="2">
        <v>1.3556330000000001</v>
      </c>
      <c r="D547" s="2">
        <v>2.163081</v>
      </c>
      <c r="E547" s="2">
        <v>3.1299640000000002</v>
      </c>
      <c r="F547" s="2">
        <v>6.6452090000000004</v>
      </c>
      <c r="G547" s="2">
        <v>0.75706700000000005</v>
      </c>
      <c r="H547" s="2">
        <v>7.5179999999999997E-2</v>
      </c>
      <c r="I547" s="2">
        <v>1.0044000000000001E-2</v>
      </c>
      <c r="J547" s="2">
        <v>3.3492000000000001E-2</v>
      </c>
      <c r="K547" s="2">
        <v>4.7355000000000001E-2</v>
      </c>
      <c r="L547" s="2">
        <v>0.44134099999999998</v>
      </c>
      <c r="M547" s="2">
        <v>0.60741000000000001</v>
      </c>
      <c r="N547" s="2">
        <v>8.0292580000000005</v>
      </c>
    </row>
    <row r="548" spans="1:14" x14ac:dyDescent="0.35">
      <c r="A548" s="2" t="s">
        <v>555</v>
      </c>
      <c r="B548" s="3">
        <f t="shared" si="8"/>
        <v>42979</v>
      </c>
      <c r="C548" s="2">
        <v>1.1396379999999999</v>
      </c>
      <c r="D548" s="2">
        <v>1.982939</v>
      </c>
      <c r="E548" s="2">
        <v>2.92902</v>
      </c>
      <c r="F548" s="2">
        <v>6.0494940000000001</v>
      </c>
      <c r="G548" s="2">
        <v>0.71223599999999998</v>
      </c>
      <c r="H548" s="2">
        <v>6.5346000000000001E-2</v>
      </c>
      <c r="I548" s="2">
        <v>9.7619999999999998E-3</v>
      </c>
      <c r="J548" s="2">
        <v>3.0880999999999999E-2</v>
      </c>
      <c r="K548" s="2">
        <v>6.1115000000000003E-2</v>
      </c>
      <c r="L548" s="2">
        <v>0.40737499999999999</v>
      </c>
      <c r="M548" s="2">
        <v>0.57447899999999996</v>
      </c>
      <c r="N548" s="2">
        <v>7.3516870000000001</v>
      </c>
    </row>
    <row r="549" spans="1:14" x14ac:dyDescent="0.35">
      <c r="A549" s="2" t="s">
        <v>556</v>
      </c>
      <c r="B549" s="3">
        <f t="shared" si="8"/>
        <v>43009</v>
      </c>
      <c r="C549" s="2">
        <v>1.050775</v>
      </c>
      <c r="D549" s="2">
        <v>2.09809</v>
      </c>
      <c r="E549" s="2">
        <v>3.0671650000000001</v>
      </c>
      <c r="F549" s="2">
        <v>6.2117800000000001</v>
      </c>
      <c r="G549" s="2">
        <v>0.69023900000000005</v>
      </c>
      <c r="H549" s="2">
        <v>6.0386000000000002E-2</v>
      </c>
      <c r="I549" s="2">
        <v>9.5359999999999993E-3</v>
      </c>
      <c r="J549" s="2">
        <v>2.8042000000000001E-2</v>
      </c>
      <c r="K549" s="2">
        <v>8.3145999999999998E-2</v>
      </c>
      <c r="L549" s="2">
        <v>0.42327399999999998</v>
      </c>
      <c r="M549" s="2">
        <v>0.60438400000000003</v>
      </c>
      <c r="N549" s="2">
        <v>7.5174659999999998</v>
      </c>
    </row>
    <row r="550" spans="1:14" x14ac:dyDescent="0.35">
      <c r="A550" s="2" t="s">
        <v>557</v>
      </c>
      <c r="B550" s="3">
        <f t="shared" si="8"/>
        <v>43040</v>
      </c>
      <c r="C550" s="2">
        <v>1.0685610000000001</v>
      </c>
      <c r="D550" s="2">
        <v>2.4360539999999999</v>
      </c>
      <c r="E550" s="2">
        <v>3.0075090000000002</v>
      </c>
      <c r="F550" s="2">
        <v>6.509093</v>
      </c>
      <c r="G550" s="2">
        <v>0.69675600000000004</v>
      </c>
      <c r="H550" s="2">
        <v>6.7859000000000003E-2</v>
      </c>
      <c r="I550" s="2">
        <v>9.6710000000000008E-3</v>
      </c>
      <c r="J550" s="2">
        <v>2.0500999999999998E-2</v>
      </c>
      <c r="K550" s="2">
        <v>7.7161999999999994E-2</v>
      </c>
      <c r="L550" s="2">
        <v>0.42238399999999998</v>
      </c>
      <c r="M550" s="2">
        <v>0.59757700000000002</v>
      </c>
      <c r="N550" s="2">
        <v>7.8140280000000004</v>
      </c>
    </row>
    <row r="551" spans="1:14" x14ac:dyDescent="0.35">
      <c r="A551" s="2" t="s">
        <v>558</v>
      </c>
      <c r="B551" s="3">
        <f t="shared" si="8"/>
        <v>43070</v>
      </c>
      <c r="C551" s="2">
        <v>1.216143</v>
      </c>
      <c r="D551" s="2">
        <v>3.1906500000000002</v>
      </c>
      <c r="E551" s="2">
        <v>3.091345</v>
      </c>
      <c r="F551" s="2">
        <v>7.494688</v>
      </c>
      <c r="G551" s="2">
        <v>0.77082399999999995</v>
      </c>
      <c r="H551" s="2">
        <v>7.5910000000000005E-2</v>
      </c>
      <c r="I551" s="2">
        <v>1.0104999999999999E-2</v>
      </c>
      <c r="J551" s="2">
        <v>1.9362000000000001E-2</v>
      </c>
      <c r="K551" s="2">
        <v>7.5748999999999997E-2</v>
      </c>
      <c r="L551" s="2">
        <v>0.43565500000000001</v>
      </c>
      <c r="M551" s="2">
        <v>0.61678100000000002</v>
      </c>
      <c r="N551" s="2">
        <v>8.8961290000000002</v>
      </c>
    </row>
    <row r="552" spans="1:14" x14ac:dyDescent="0.35">
      <c r="A552" s="2" t="s">
        <v>559</v>
      </c>
      <c r="B552" s="3">
        <f t="shared" si="8"/>
        <v>43101</v>
      </c>
      <c r="C552" s="2">
        <v>1.3336889999999999</v>
      </c>
      <c r="D552" s="2">
        <v>3.456029</v>
      </c>
      <c r="E552" s="2">
        <v>3.1259160000000001</v>
      </c>
      <c r="F552" s="2">
        <v>7.9118190000000004</v>
      </c>
      <c r="G552" s="2">
        <v>0.78045600000000004</v>
      </c>
      <c r="H552" s="2">
        <v>8.5518999999999998E-2</v>
      </c>
      <c r="I552" s="2">
        <v>9.9699999999999997E-3</v>
      </c>
      <c r="J552" s="2">
        <v>2.0417000000000001E-2</v>
      </c>
      <c r="K552" s="2">
        <v>8.7343000000000004E-2</v>
      </c>
      <c r="L552" s="2">
        <v>0.430336</v>
      </c>
      <c r="M552" s="2">
        <v>0.63358499999999995</v>
      </c>
      <c r="N552" s="2">
        <v>9.339798</v>
      </c>
    </row>
    <row r="553" spans="1:14" x14ac:dyDescent="0.35">
      <c r="A553" s="2" t="s">
        <v>560</v>
      </c>
      <c r="B553" s="3">
        <f t="shared" si="8"/>
        <v>43132</v>
      </c>
      <c r="C553" s="2">
        <v>0.96338100000000004</v>
      </c>
      <c r="D553" s="2">
        <v>2.803588</v>
      </c>
      <c r="E553" s="2">
        <v>2.7109369999999999</v>
      </c>
      <c r="F553" s="2">
        <v>6.4765800000000002</v>
      </c>
      <c r="G553" s="2">
        <v>0.67737999999999998</v>
      </c>
      <c r="H553" s="2">
        <v>8.4967000000000001E-2</v>
      </c>
      <c r="I553" s="2">
        <v>9.2180000000000005E-3</v>
      </c>
      <c r="J553" s="2">
        <v>2.3213000000000001E-2</v>
      </c>
      <c r="K553" s="2">
        <v>7.9122999999999999E-2</v>
      </c>
      <c r="L553" s="2">
        <v>0.387492</v>
      </c>
      <c r="M553" s="2">
        <v>0.58401199999999998</v>
      </c>
      <c r="N553" s="2">
        <v>7.7499830000000003</v>
      </c>
    </row>
    <row r="554" spans="1:14" x14ac:dyDescent="0.35">
      <c r="A554" s="2" t="s">
        <v>561</v>
      </c>
      <c r="B554" s="3">
        <f t="shared" si="8"/>
        <v>43160</v>
      </c>
      <c r="C554" s="2">
        <v>0.941137</v>
      </c>
      <c r="D554" s="2">
        <v>2.892652</v>
      </c>
      <c r="E554" s="2">
        <v>3.1591619999999998</v>
      </c>
      <c r="F554" s="2">
        <v>6.9906490000000003</v>
      </c>
      <c r="G554" s="2">
        <v>0.70082599999999995</v>
      </c>
      <c r="H554" s="2">
        <v>8.8235999999999995E-2</v>
      </c>
      <c r="I554" s="2">
        <v>1.0057E-2</v>
      </c>
      <c r="J554" s="2">
        <v>3.0918000000000001E-2</v>
      </c>
      <c r="K554" s="2">
        <v>9.0293999999999999E-2</v>
      </c>
      <c r="L554" s="2">
        <v>0.43071700000000002</v>
      </c>
      <c r="M554" s="2">
        <v>0.65022199999999997</v>
      </c>
      <c r="N554" s="2">
        <v>8.3567210000000003</v>
      </c>
    </row>
    <row r="555" spans="1:14" x14ac:dyDescent="0.35">
      <c r="A555" s="2" t="s">
        <v>562</v>
      </c>
      <c r="B555" s="3">
        <f t="shared" si="8"/>
        <v>43191</v>
      </c>
      <c r="C555" s="2">
        <v>0.86263199999999995</v>
      </c>
      <c r="D555" s="2">
        <v>2.4304760000000001</v>
      </c>
      <c r="E555" s="2">
        <v>2.9615490000000002</v>
      </c>
      <c r="F555" s="2">
        <v>6.2522460000000004</v>
      </c>
      <c r="G555" s="2">
        <v>0.61823700000000004</v>
      </c>
      <c r="H555" s="2">
        <v>9.5929E-2</v>
      </c>
      <c r="I555" s="2">
        <v>9.2720000000000007E-3</v>
      </c>
      <c r="J555" s="2">
        <v>3.6048999999999998E-2</v>
      </c>
      <c r="K555" s="2">
        <v>9.0181999999999998E-2</v>
      </c>
      <c r="L555" s="2">
        <v>0.40666200000000002</v>
      </c>
      <c r="M555" s="2">
        <v>0.63809400000000005</v>
      </c>
      <c r="N555" s="2">
        <v>7.5184959999999998</v>
      </c>
    </row>
    <row r="556" spans="1:14" x14ac:dyDescent="0.35">
      <c r="A556" s="2" t="s">
        <v>563</v>
      </c>
      <c r="B556" s="3">
        <f t="shared" si="8"/>
        <v>43221</v>
      </c>
      <c r="C556" s="2">
        <v>0.99320399999999998</v>
      </c>
      <c r="D556" s="2">
        <v>2.1241840000000001</v>
      </c>
      <c r="E556" s="2">
        <v>3.1041080000000001</v>
      </c>
      <c r="F556" s="2">
        <v>6.2198859999999998</v>
      </c>
      <c r="G556" s="2">
        <v>0.70383300000000004</v>
      </c>
      <c r="H556" s="2">
        <v>0.103876</v>
      </c>
      <c r="I556" s="2">
        <v>1.0111E-2</v>
      </c>
      <c r="J556" s="2">
        <v>4.0277E-2</v>
      </c>
      <c r="K556" s="2">
        <v>8.1727999999999995E-2</v>
      </c>
      <c r="L556" s="2">
        <v>0.43850699999999998</v>
      </c>
      <c r="M556" s="2">
        <v>0.67449800000000004</v>
      </c>
      <c r="N556" s="2">
        <v>7.6121990000000004</v>
      </c>
    </row>
    <row r="557" spans="1:14" x14ac:dyDescent="0.35">
      <c r="A557" s="2" t="s">
        <v>564</v>
      </c>
      <c r="B557" s="3">
        <f t="shared" si="8"/>
        <v>43252</v>
      </c>
      <c r="C557" s="2">
        <v>1.160101</v>
      </c>
      <c r="D557" s="2">
        <v>2.1327959999999999</v>
      </c>
      <c r="E557" s="2">
        <v>3.0892770000000001</v>
      </c>
      <c r="F557" s="2">
        <v>6.3807830000000001</v>
      </c>
      <c r="G557" s="2">
        <v>0.72858299999999998</v>
      </c>
      <c r="H557" s="2">
        <v>9.4162999999999997E-2</v>
      </c>
      <c r="I557" s="2">
        <v>9.6539999999999994E-3</v>
      </c>
      <c r="J557" s="2">
        <v>4.2476E-2</v>
      </c>
      <c r="K557" s="2">
        <v>8.4286E-2</v>
      </c>
      <c r="L557" s="2">
        <v>0.423319</v>
      </c>
      <c r="M557" s="2">
        <v>0.65389799999999998</v>
      </c>
      <c r="N557" s="2">
        <v>7.777863</v>
      </c>
    </row>
    <row r="558" spans="1:14" x14ac:dyDescent="0.35">
      <c r="A558" s="2" t="s">
        <v>565</v>
      </c>
      <c r="B558" s="3">
        <f t="shared" si="8"/>
        <v>43282</v>
      </c>
      <c r="C558" s="2">
        <v>1.311145</v>
      </c>
      <c r="D558" s="2">
        <v>2.4308070000000002</v>
      </c>
      <c r="E558" s="2">
        <v>3.1646019999999999</v>
      </c>
      <c r="F558" s="2">
        <v>6.9043130000000001</v>
      </c>
      <c r="G558" s="2">
        <v>0.75752799999999998</v>
      </c>
      <c r="H558" s="2">
        <v>8.5639999999999994E-2</v>
      </c>
      <c r="I558" s="2">
        <v>1.0066E-2</v>
      </c>
      <c r="J558" s="2">
        <v>4.0715000000000001E-2</v>
      </c>
      <c r="K558" s="2">
        <v>5.6115999999999999E-2</v>
      </c>
      <c r="L558" s="2">
        <v>0.43952200000000002</v>
      </c>
      <c r="M558" s="2">
        <v>0.63205800000000001</v>
      </c>
      <c r="N558" s="2">
        <v>8.3090320000000002</v>
      </c>
    </row>
    <row r="559" spans="1:14" x14ac:dyDescent="0.35">
      <c r="A559" s="2" t="s">
        <v>566</v>
      </c>
      <c r="B559" s="3">
        <f t="shared" si="8"/>
        <v>43313</v>
      </c>
      <c r="C559" s="2">
        <v>1.3090889999999999</v>
      </c>
      <c r="D559" s="2">
        <v>2.392477</v>
      </c>
      <c r="E559" s="2">
        <v>3.2769170000000001</v>
      </c>
      <c r="F559" s="2">
        <v>6.9770599999999998</v>
      </c>
      <c r="G559" s="2">
        <v>0.75571299999999997</v>
      </c>
      <c r="H559" s="2">
        <v>7.5121999999999994E-2</v>
      </c>
      <c r="I559" s="2">
        <v>1.0057999999999999E-2</v>
      </c>
      <c r="J559" s="2">
        <v>3.9785000000000001E-2</v>
      </c>
      <c r="K559" s="2">
        <v>6.7715999999999998E-2</v>
      </c>
      <c r="L559" s="2">
        <v>0.44532500000000003</v>
      </c>
      <c r="M559" s="2">
        <v>0.63800400000000002</v>
      </c>
      <c r="N559" s="2">
        <v>8.3878430000000002</v>
      </c>
    </row>
    <row r="560" spans="1:14" x14ac:dyDescent="0.35">
      <c r="A560" s="2" t="s">
        <v>567</v>
      </c>
      <c r="B560" s="3">
        <f t="shared" si="8"/>
        <v>43344</v>
      </c>
      <c r="C560" s="2">
        <v>1.120034</v>
      </c>
      <c r="D560" s="2">
        <v>2.2287650000000001</v>
      </c>
      <c r="E560" s="2">
        <v>2.9752369999999999</v>
      </c>
      <c r="F560" s="2">
        <v>6.322819</v>
      </c>
      <c r="G560" s="2">
        <v>0.67669699999999999</v>
      </c>
      <c r="H560" s="2">
        <v>6.5393000000000007E-2</v>
      </c>
      <c r="I560" s="2">
        <v>9.75E-3</v>
      </c>
      <c r="J560" s="2">
        <v>3.5354999999999998E-2</v>
      </c>
      <c r="K560" s="2">
        <v>6.3188999999999995E-2</v>
      </c>
      <c r="L560" s="2">
        <v>0.407669</v>
      </c>
      <c r="M560" s="2">
        <v>0.58135599999999998</v>
      </c>
      <c r="N560" s="2">
        <v>7.5917560000000002</v>
      </c>
    </row>
    <row r="561" spans="1:14" x14ac:dyDescent="0.35">
      <c r="A561" s="2" t="s">
        <v>568</v>
      </c>
      <c r="B561" s="3">
        <f t="shared" si="8"/>
        <v>43374</v>
      </c>
      <c r="C561" s="2">
        <v>1.0170380000000001</v>
      </c>
      <c r="D561" s="2">
        <v>2.3619140000000001</v>
      </c>
      <c r="E561" s="2">
        <v>3.1871209999999999</v>
      </c>
      <c r="F561" s="2">
        <v>6.5642610000000001</v>
      </c>
      <c r="G561" s="2">
        <v>0.62099499999999996</v>
      </c>
      <c r="H561" s="2">
        <v>6.6697999999999993E-2</v>
      </c>
      <c r="I561" s="2">
        <v>9.7370000000000009E-3</v>
      </c>
      <c r="J561" s="2">
        <v>3.0386E-2</v>
      </c>
      <c r="K561" s="2">
        <v>7.2314000000000003E-2</v>
      </c>
      <c r="L561" s="2">
        <v>0.43022700000000003</v>
      </c>
      <c r="M561" s="2">
        <v>0.60936299999999999</v>
      </c>
      <c r="N561" s="2">
        <v>7.8042889999999998</v>
      </c>
    </row>
    <row r="562" spans="1:14" x14ac:dyDescent="0.35">
      <c r="A562" s="2" t="s">
        <v>569</v>
      </c>
      <c r="B562" s="3">
        <f t="shared" si="8"/>
        <v>43405</v>
      </c>
      <c r="C562" s="2">
        <v>1.081731</v>
      </c>
      <c r="D562" s="2">
        <v>2.807712</v>
      </c>
      <c r="E562" s="2">
        <v>3.0574720000000002</v>
      </c>
      <c r="F562" s="2">
        <v>6.9435830000000003</v>
      </c>
      <c r="G562" s="2">
        <v>0.66864299999999999</v>
      </c>
      <c r="H562" s="2">
        <v>7.4765999999999999E-2</v>
      </c>
      <c r="I562" s="2">
        <v>9.7599999999999996E-3</v>
      </c>
      <c r="J562" s="2">
        <v>2.3467999999999999E-2</v>
      </c>
      <c r="K562" s="2">
        <v>7.5118000000000004E-2</v>
      </c>
      <c r="L562" s="2">
        <v>0.420933</v>
      </c>
      <c r="M562" s="2">
        <v>0.60404599999999997</v>
      </c>
      <c r="N562" s="2">
        <v>8.2248979999999996</v>
      </c>
    </row>
    <row r="563" spans="1:14" x14ac:dyDescent="0.35">
      <c r="A563" s="2" t="s">
        <v>570</v>
      </c>
      <c r="B563" s="3">
        <f t="shared" si="8"/>
        <v>43435</v>
      </c>
      <c r="C563" s="2">
        <v>1.1583509999999999</v>
      </c>
      <c r="D563" s="2">
        <v>3.1014400000000002</v>
      </c>
      <c r="E563" s="2">
        <v>3.0795219999999999</v>
      </c>
      <c r="F563" s="2">
        <v>7.3365419999999997</v>
      </c>
      <c r="G563" s="2">
        <v>0.74917699999999998</v>
      </c>
      <c r="H563" s="2">
        <v>7.7784000000000006E-2</v>
      </c>
      <c r="I563" s="2">
        <v>1.0326999999999999E-2</v>
      </c>
      <c r="J563" s="2">
        <v>2.0576000000000001E-2</v>
      </c>
      <c r="K563" s="2">
        <v>8.2933000000000007E-2</v>
      </c>
      <c r="L563" s="2">
        <v>0.43530799999999997</v>
      </c>
      <c r="M563" s="2">
        <v>0.62692800000000004</v>
      </c>
      <c r="N563" s="2">
        <v>8.7234780000000001</v>
      </c>
    </row>
    <row r="564" spans="1:14" x14ac:dyDescent="0.35">
      <c r="A564" s="2" t="s">
        <v>571</v>
      </c>
      <c r="B564" s="3">
        <f t="shared" si="8"/>
        <v>43466</v>
      </c>
      <c r="C564" s="2">
        <v>1.1613549999999999</v>
      </c>
      <c r="D564" s="2">
        <v>3.550046</v>
      </c>
      <c r="E564" s="2">
        <v>3.129623</v>
      </c>
      <c r="F564" s="2">
        <v>7.8382310000000004</v>
      </c>
      <c r="G564" s="2">
        <v>0.76958400000000005</v>
      </c>
      <c r="H564" s="2">
        <v>8.4610000000000005E-2</v>
      </c>
      <c r="I564" s="2">
        <v>1.0135999999999999E-2</v>
      </c>
      <c r="J564" s="2">
        <v>2.2249000000000001E-2</v>
      </c>
      <c r="K564" s="2">
        <v>8.2917000000000005E-2</v>
      </c>
      <c r="L564" s="2">
        <v>0.42085400000000001</v>
      </c>
      <c r="M564" s="2">
        <v>0.62076600000000004</v>
      </c>
      <c r="N564" s="2">
        <v>9.2399810000000002</v>
      </c>
    </row>
    <row r="565" spans="1:14" x14ac:dyDescent="0.35">
      <c r="A565" s="2" t="s">
        <v>572</v>
      </c>
      <c r="B565" s="3">
        <f t="shared" si="8"/>
        <v>43497</v>
      </c>
      <c r="C565" s="2">
        <v>0.94916199999999995</v>
      </c>
      <c r="D565" s="2">
        <v>3.1301549999999998</v>
      </c>
      <c r="E565" s="2">
        <v>2.7572199999999998</v>
      </c>
      <c r="F565" s="2">
        <v>6.8357270000000003</v>
      </c>
      <c r="G565" s="2">
        <v>0.67575300000000005</v>
      </c>
      <c r="H565" s="2">
        <v>7.8067999999999999E-2</v>
      </c>
      <c r="I565" s="2">
        <v>9.2820000000000003E-3</v>
      </c>
      <c r="J565" s="2">
        <v>2.3942000000000001E-2</v>
      </c>
      <c r="K565" s="2">
        <v>7.7188999999999994E-2</v>
      </c>
      <c r="L565" s="2">
        <v>0.391372</v>
      </c>
      <c r="M565" s="2">
        <v>0.57985299999999995</v>
      </c>
      <c r="N565" s="2">
        <v>8.1020249999999994</v>
      </c>
    </row>
    <row r="566" spans="1:14" x14ac:dyDescent="0.35">
      <c r="A566" s="2" t="s">
        <v>573</v>
      </c>
      <c r="B566" s="3">
        <f t="shared" si="8"/>
        <v>43525</v>
      </c>
      <c r="C566" s="2">
        <v>0.93272699999999997</v>
      </c>
      <c r="D566" s="2">
        <v>3.0346009999999999</v>
      </c>
      <c r="E566" s="2">
        <v>3.064924</v>
      </c>
      <c r="F566" s="2">
        <v>7.031288</v>
      </c>
      <c r="G566" s="2">
        <v>0.679562</v>
      </c>
      <c r="H566" s="2">
        <v>8.9852000000000001E-2</v>
      </c>
      <c r="I566" s="2">
        <v>1.0246999999999999E-2</v>
      </c>
      <c r="J566" s="2">
        <v>3.5490000000000001E-2</v>
      </c>
      <c r="K566" s="2">
        <v>8.7936E-2</v>
      </c>
      <c r="L566" s="2">
        <v>0.42260199999999998</v>
      </c>
      <c r="M566" s="2">
        <v>0.64612700000000001</v>
      </c>
      <c r="N566" s="2">
        <v>8.3651689999999999</v>
      </c>
    </row>
    <row r="567" spans="1:14" x14ac:dyDescent="0.35">
      <c r="A567" s="2" t="s">
        <v>574</v>
      </c>
      <c r="B567" s="3">
        <f t="shared" si="8"/>
        <v>43556</v>
      </c>
      <c r="C567" s="2">
        <v>0.71924900000000003</v>
      </c>
      <c r="D567" s="2">
        <v>2.292548</v>
      </c>
      <c r="E567" s="2">
        <v>3.0009670000000002</v>
      </c>
      <c r="F567" s="2">
        <v>6.011698</v>
      </c>
      <c r="G567" s="2">
        <v>0.63258599999999998</v>
      </c>
      <c r="H567" s="2">
        <v>9.4922000000000006E-2</v>
      </c>
      <c r="I567" s="2">
        <v>9.4979999999999995E-3</v>
      </c>
      <c r="J567" s="2">
        <v>4.0146000000000001E-2</v>
      </c>
      <c r="K567" s="2">
        <v>9.8658999999999997E-2</v>
      </c>
      <c r="L567" s="2">
        <v>0.40692699999999998</v>
      </c>
      <c r="M567" s="2">
        <v>0.65015299999999998</v>
      </c>
      <c r="N567" s="2">
        <v>7.3025789999999997</v>
      </c>
    </row>
    <row r="568" spans="1:14" x14ac:dyDescent="0.35">
      <c r="A568" s="2" t="s">
        <v>575</v>
      </c>
      <c r="B568" s="3">
        <f t="shared" si="8"/>
        <v>43586</v>
      </c>
      <c r="C568" s="2">
        <v>0.85000900000000001</v>
      </c>
      <c r="D568" s="2">
        <v>2.2110029999999998</v>
      </c>
      <c r="E568" s="2">
        <v>3.1163780000000001</v>
      </c>
      <c r="F568" s="2">
        <v>6.1757869999999997</v>
      </c>
      <c r="G568" s="2">
        <v>0.70090399999999997</v>
      </c>
      <c r="H568" s="2">
        <v>0.109123</v>
      </c>
      <c r="I568" s="2">
        <v>9.9710000000000007E-3</v>
      </c>
      <c r="J568" s="2">
        <v>4.3145999999999997E-2</v>
      </c>
      <c r="K568" s="2">
        <v>8.7958999999999996E-2</v>
      </c>
      <c r="L568" s="2">
        <v>0.431479</v>
      </c>
      <c r="M568" s="2">
        <v>0.68167800000000001</v>
      </c>
      <c r="N568" s="2">
        <v>7.5687470000000001</v>
      </c>
    </row>
    <row r="569" spans="1:14" x14ac:dyDescent="0.35">
      <c r="A569" s="2" t="s">
        <v>576</v>
      </c>
      <c r="B569" s="3">
        <f t="shared" si="8"/>
        <v>43617</v>
      </c>
      <c r="C569" s="2">
        <v>0.931168</v>
      </c>
      <c r="D569" s="2">
        <v>2.195729</v>
      </c>
      <c r="E569" s="2">
        <v>3.0646770000000001</v>
      </c>
      <c r="F569" s="2">
        <v>6.1897180000000001</v>
      </c>
      <c r="G569" s="2">
        <v>0.71846100000000002</v>
      </c>
      <c r="H569" s="2">
        <v>9.5800999999999997E-2</v>
      </c>
      <c r="I569" s="2">
        <v>9.7509999999999993E-3</v>
      </c>
      <c r="J569" s="2">
        <v>4.6198000000000003E-2</v>
      </c>
      <c r="K569" s="2">
        <v>7.6586000000000001E-2</v>
      </c>
      <c r="L569" s="2">
        <v>0.42065799999999998</v>
      </c>
      <c r="M569" s="2">
        <v>0.64899399999999996</v>
      </c>
      <c r="N569" s="2">
        <v>7.5695600000000001</v>
      </c>
    </row>
    <row r="570" spans="1:14" x14ac:dyDescent="0.35">
      <c r="A570" s="2" t="s">
        <v>577</v>
      </c>
      <c r="B570" s="3">
        <f t="shared" si="8"/>
        <v>43647</v>
      </c>
      <c r="C570" s="2">
        <v>1.1536999999999999</v>
      </c>
      <c r="D570" s="2">
        <v>2.4808880000000002</v>
      </c>
      <c r="E570" s="2">
        <v>3.1786850000000002</v>
      </c>
      <c r="F570" s="2">
        <v>6.8115350000000001</v>
      </c>
      <c r="G570" s="2">
        <v>0.75389799999999996</v>
      </c>
      <c r="H570" s="2">
        <v>8.4875000000000006E-2</v>
      </c>
      <c r="I570" s="2">
        <v>1.0085999999999999E-2</v>
      </c>
      <c r="J570" s="2">
        <v>4.7572000000000003E-2</v>
      </c>
      <c r="K570" s="2">
        <v>7.5408000000000003E-2</v>
      </c>
      <c r="L570" s="2">
        <v>0.43601000000000001</v>
      </c>
      <c r="M570" s="2">
        <v>0.65395000000000003</v>
      </c>
      <c r="N570" s="2">
        <v>8.2319569999999995</v>
      </c>
    </row>
    <row r="571" spans="1:14" x14ac:dyDescent="0.35">
      <c r="A571" s="2" t="s">
        <v>578</v>
      </c>
      <c r="B571" s="3">
        <f t="shared" si="8"/>
        <v>43678</v>
      </c>
      <c r="C571" s="2">
        <v>1.086347</v>
      </c>
      <c r="D571" s="2">
        <v>2.522268</v>
      </c>
      <c r="E571" s="2">
        <v>3.2546309999999998</v>
      </c>
      <c r="F571" s="2">
        <v>6.8621600000000003</v>
      </c>
      <c r="G571" s="2">
        <v>0.75089099999999998</v>
      </c>
      <c r="H571" s="2">
        <v>7.7037999999999995E-2</v>
      </c>
      <c r="I571" s="2">
        <v>1.0147E-2</v>
      </c>
      <c r="J571" s="2">
        <v>4.5914000000000003E-2</v>
      </c>
      <c r="K571" s="2">
        <v>6.8165000000000003E-2</v>
      </c>
      <c r="L571" s="2">
        <v>0.43321799999999999</v>
      </c>
      <c r="M571" s="2">
        <v>0.63448199999999999</v>
      </c>
      <c r="N571" s="2">
        <v>8.2614540000000005</v>
      </c>
    </row>
    <row r="572" spans="1:14" x14ac:dyDescent="0.35">
      <c r="A572" s="2" t="s">
        <v>579</v>
      </c>
      <c r="B572" s="3">
        <f t="shared" si="8"/>
        <v>43709</v>
      </c>
      <c r="C572" s="2">
        <v>0.98607800000000001</v>
      </c>
      <c r="D572" s="2">
        <v>2.2857080000000001</v>
      </c>
      <c r="E572" s="2">
        <v>2.995025</v>
      </c>
      <c r="F572" s="2">
        <v>6.2643800000000001</v>
      </c>
      <c r="G572" s="2">
        <v>0.689836</v>
      </c>
      <c r="H572" s="2">
        <v>6.3210000000000002E-2</v>
      </c>
      <c r="I572" s="2">
        <v>9.8849999999999997E-3</v>
      </c>
      <c r="J572" s="2">
        <v>4.0156999999999998E-2</v>
      </c>
      <c r="K572" s="2">
        <v>8.3640000000000006E-2</v>
      </c>
      <c r="L572" s="2">
        <v>0.40489900000000001</v>
      </c>
      <c r="M572" s="2">
        <v>0.60179199999999999</v>
      </c>
      <c r="N572" s="2">
        <v>7.5680079999999998</v>
      </c>
    </row>
    <row r="573" spans="1:14" x14ac:dyDescent="0.35">
      <c r="A573" s="2" t="s">
        <v>580</v>
      </c>
      <c r="B573" s="3">
        <f t="shared" si="8"/>
        <v>43739</v>
      </c>
      <c r="C573" s="2">
        <v>0.80095799999999995</v>
      </c>
      <c r="D573" s="2">
        <v>2.3896419999999998</v>
      </c>
      <c r="E573" s="2">
        <v>3.165289</v>
      </c>
      <c r="F573" s="2">
        <v>6.3537999999999997</v>
      </c>
      <c r="G573" s="2">
        <v>0.64774500000000002</v>
      </c>
      <c r="H573" s="2">
        <v>6.2459000000000001E-2</v>
      </c>
      <c r="I573" s="2">
        <v>9.2860000000000009E-3</v>
      </c>
      <c r="J573" s="2">
        <v>3.5723999999999999E-2</v>
      </c>
      <c r="K573" s="2">
        <v>9.4255000000000005E-2</v>
      </c>
      <c r="L573" s="2">
        <v>0.42349500000000001</v>
      </c>
      <c r="M573" s="2">
        <v>0.62522</v>
      </c>
      <c r="N573" s="2">
        <v>7.634258</v>
      </c>
    </row>
    <row r="574" spans="1:14" x14ac:dyDescent="0.35">
      <c r="A574" s="2" t="s">
        <v>581</v>
      </c>
      <c r="B574" s="3">
        <f t="shared" si="8"/>
        <v>43770</v>
      </c>
      <c r="C574" s="2">
        <v>0.88490800000000003</v>
      </c>
      <c r="D574" s="2">
        <v>2.8846050000000001</v>
      </c>
      <c r="E574" s="2">
        <v>3.0463089999999999</v>
      </c>
      <c r="F574" s="2">
        <v>6.8140140000000002</v>
      </c>
      <c r="G574" s="2">
        <v>0.66959800000000003</v>
      </c>
      <c r="H574" s="2">
        <v>6.8982000000000002E-2</v>
      </c>
      <c r="I574" s="2">
        <v>8.5749999999999993E-3</v>
      </c>
      <c r="J574" s="2">
        <v>2.6634000000000001E-2</v>
      </c>
      <c r="K574" s="2">
        <v>8.5929000000000005E-2</v>
      </c>
      <c r="L574" s="2">
        <v>0.41872900000000002</v>
      </c>
      <c r="M574" s="2">
        <v>0.60884899999999997</v>
      </c>
      <c r="N574" s="2">
        <v>8.1047279999999997</v>
      </c>
    </row>
    <row r="575" spans="1:14" x14ac:dyDescent="0.35">
      <c r="A575" s="2" t="s">
        <v>582</v>
      </c>
      <c r="B575" s="3">
        <f t="shared" si="8"/>
        <v>43800</v>
      </c>
      <c r="C575" s="2">
        <v>0.85993699999999995</v>
      </c>
      <c r="D575" s="2">
        <v>3.286505</v>
      </c>
      <c r="E575" s="2">
        <v>3.0926439999999999</v>
      </c>
      <c r="F575" s="2">
        <v>7.236205</v>
      </c>
      <c r="G575" s="2">
        <v>0.76303399999999999</v>
      </c>
      <c r="H575" s="2">
        <v>7.3284000000000002E-2</v>
      </c>
      <c r="I575" s="2">
        <v>9.4289999999999999E-3</v>
      </c>
      <c r="J575" s="2">
        <v>2.2572999999999999E-2</v>
      </c>
      <c r="K575" s="2">
        <v>9.0909000000000004E-2</v>
      </c>
      <c r="L575" s="2">
        <v>0.437616</v>
      </c>
      <c r="M575" s="2">
        <v>0.63380999999999998</v>
      </c>
      <c r="N575" s="2">
        <v>8.6468229999999995</v>
      </c>
    </row>
    <row r="576" spans="1:14" x14ac:dyDescent="0.35">
      <c r="A576" s="2" t="s">
        <v>583</v>
      </c>
      <c r="B576" s="3">
        <f t="shared" si="8"/>
        <v>43831</v>
      </c>
      <c r="C576" s="2">
        <v>0.78525400000000001</v>
      </c>
      <c r="D576" s="2">
        <v>3.4472459999999998</v>
      </c>
      <c r="E576" s="2">
        <v>3.0086200000000001</v>
      </c>
      <c r="F576" s="2">
        <v>7.2396479999999999</v>
      </c>
      <c r="G576" s="2">
        <v>0.77477600000000002</v>
      </c>
      <c r="H576" s="2">
        <v>8.3586999999999995E-2</v>
      </c>
      <c r="I576" s="2">
        <v>9.2940000000000002E-3</v>
      </c>
      <c r="J576" s="2">
        <v>2.6699000000000001E-2</v>
      </c>
      <c r="K576" s="2">
        <v>9.5949999999999994E-2</v>
      </c>
      <c r="L576" s="2">
        <v>0.41057199999999999</v>
      </c>
      <c r="M576" s="2">
        <v>0.62610200000000005</v>
      </c>
      <c r="N576" s="2">
        <v>8.6513829999999992</v>
      </c>
    </row>
    <row r="577" spans="1:14" x14ac:dyDescent="0.35">
      <c r="A577" s="2" t="s">
        <v>584</v>
      </c>
      <c r="B577" s="3">
        <f t="shared" si="8"/>
        <v>43862</v>
      </c>
      <c r="C577" s="2">
        <v>0.69358500000000001</v>
      </c>
      <c r="D577" s="2">
        <v>3.17266</v>
      </c>
      <c r="E577" s="2">
        <v>2.8441459999999998</v>
      </c>
      <c r="F577" s="2">
        <v>6.7086759999999996</v>
      </c>
      <c r="G577" s="2">
        <v>0.68850199999999995</v>
      </c>
      <c r="H577" s="2">
        <v>8.8261999999999993E-2</v>
      </c>
      <c r="I577" s="2">
        <v>9.2289999999999994E-3</v>
      </c>
      <c r="J577" s="2">
        <v>3.2001000000000002E-2</v>
      </c>
      <c r="K577" s="2">
        <v>9.9324999999999997E-2</v>
      </c>
      <c r="L577" s="2">
        <v>0.38544499999999998</v>
      </c>
      <c r="M577" s="2">
        <v>0.61426199999999997</v>
      </c>
      <c r="N577" s="2">
        <v>8.0211009999999998</v>
      </c>
    </row>
    <row r="578" spans="1:14" x14ac:dyDescent="0.35">
      <c r="A578" s="2" t="s">
        <v>585</v>
      </c>
      <c r="B578" s="3">
        <f t="shared" si="8"/>
        <v>43891</v>
      </c>
      <c r="C578" s="2">
        <v>0.63255300000000003</v>
      </c>
      <c r="D578" s="2">
        <v>2.8231359999999999</v>
      </c>
      <c r="E578" s="2">
        <v>2.7914330000000001</v>
      </c>
      <c r="F578" s="2">
        <v>6.2457960000000003</v>
      </c>
      <c r="G578" s="2">
        <v>0.66851499999999997</v>
      </c>
      <c r="H578" s="2">
        <v>8.1283999999999995E-2</v>
      </c>
      <c r="I578" s="2">
        <v>1.0378E-2</v>
      </c>
      <c r="J578" s="2">
        <v>3.8670000000000003E-2</v>
      </c>
      <c r="K578" s="2">
        <v>0.100039</v>
      </c>
      <c r="L578" s="2">
        <v>0.37981500000000001</v>
      </c>
      <c r="M578" s="2">
        <v>0.61018600000000001</v>
      </c>
      <c r="N578" s="2">
        <v>7.5373849999999996</v>
      </c>
    </row>
    <row r="579" spans="1:14" x14ac:dyDescent="0.35">
      <c r="A579" s="2" t="s">
        <v>586</v>
      </c>
      <c r="B579" s="3">
        <f t="shared" si="8"/>
        <v>43922</v>
      </c>
      <c r="C579" s="2">
        <v>0.51528499999999999</v>
      </c>
      <c r="D579" s="2">
        <v>2.344319</v>
      </c>
      <c r="E579" s="2">
        <v>2.1230359999999999</v>
      </c>
      <c r="F579" s="2">
        <v>4.9812849999999997</v>
      </c>
      <c r="G579" s="2">
        <v>0.61809000000000003</v>
      </c>
      <c r="H579" s="2">
        <v>7.9139000000000001E-2</v>
      </c>
      <c r="I579" s="2">
        <v>9.9100000000000004E-3</v>
      </c>
      <c r="J579" s="2">
        <v>4.5976999999999997E-2</v>
      </c>
      <c r="K579" s="2">
        <v>0.10151499999999999</v>
      </c>
      <c r="L579" s="2">
        <v>0.31629600000000002</v>
      </c>
      <c r="M579" s="2">
        <v>0.55283700000000002</v>
      </c>
      <c r="N579" s="2">
        <v>6.1632809999999996</v>
      </c>
    </row>
    <row r="580" spans="1:14" x14ac:dyDescent="0.35">
      <c r="A580" s="2" t="s">
        <v>587</v>
      </c>
      <c r="B580" s="3">
        <f t="shared" si="8"/>
        <v>43952</v>
      </c>
      <c r="C580" s="2">
        <v>0.57362999999999997</v>
      </c>
      <c r="D580" s="2">
        <v>2.150547</v>
      </c>
      <c r="E580" s="2">
        <v>2.4058850000000001</v>
      </c>
      <c r="F580" s="2">
        <v>5.1296220000000003</v>
      </c>
      <c r="G580" s="2">
        <v>0.67207399999999995</v>
      </c>
      <c r="H580" s="2">
        <v>0.10227899999999999</v>
      </c>
      <c r="I580" s="2">
        <v>1.0026E-2</v>
      </c>
      <c r="J580" s="2">
        <v>5.4130999999999999E-2</v>
      </c>
      <c r="K580" s="2">
        <v>9.6823999999999993E-2</v>
      </c>
      <c r="L580" s="2">
        <v>0.35569099999999998</v>
      </c>
      <c r="M580" s="2">
        <v>0.61895199999999995</v>
      </c>
      <c r="N580" s="2">
        <v>6.4332900000000004</v>
      </c>
    </row>
    <row r="581" spans="1:14" x14ac:dyDescent="0.35">
      <c r="A581" s="2" t="s">
        <v>588</v>
      </c>
      <c r="B581" s="3">
        <f t="shared" si="8"/>
        <v>43983</v>
      </c>
      <c r="C581" s="2">
        <v>0.76650799999999997</v>
      </c>
      <c r="D581" s="2">
        <v>2.2103229999999998</v>
      </c>
      <c r="E581" s="2">
        <v>2.5555140000000001</v>
      </c>
      <c r="F581" s="2">
        <v>5.5318930000000002</v>
      </c>
      <c r="G581" s="2">
        <v>0.70202399999999998</v>
      </c>
      <c r="H581" s="2">
        <v>9.5533999999999994E-2</v>
      </c>
      <c r="I581" s="2">
        <v>9.5519999999999997E-3</v>
      </c>
      <c r="J581" s="2">
        <v>5.4142000000000003E-2</v>
      </c>
      <c r="K581" s="2">
        <v>0.103085</v>
      </c>
      <c r="L581" s="2">
        <v>0.37377500000000002</v>
      </c>
      <c r="M581" s="2">
        <v>0.63608799999999999</v>
      </c>
      <c r="N581" s="2">
        <v>6.883324</v>
      </c>
    </row>
    <row r="582" spans="1:14" x14ac:dyDescent="0.35">
      <c r="A582" s="2" t="s">
        <v>589</v>
      </c>
      <c r="B582" s="3">
        <f t="shared" si="8"/>
        <v>44013</v>
      </c>
      <c r="C582" s="2">
        <v>1.017936</v>
      </c>
      <c r="D582" s="2">
        <v>2.5565959999999999</v>
      </c>
      <c r="E582" s="2">
        <v>2.7711299999999999</v>
      </c>
      <c r="F582" s="2">
        <v>6.3455360000000001</v>
      </c>
      <c r="G582" s="2">
        <v>0.7248</v>
      </c>
      <c r="H582" s="2">
        <v>9.1243000000000005E-2</v>
      </c>
      <c r="I582" s="2">
        <v>9.9209999999999993E-3</v>
      </c>
      <c r="J582" s="2">
        <v>5.808E-2</v>
      </c>
      <c r="K582" s="2">
        <v>7.8019000000000005E-2</v>
      </c>
      <c r="L582" s="2">
        <v>0.38627400000000001</v>
      </c>
      <c r="M582" s="2">
        <v>0.62353700000000001</v>
      </c>
      <c r="N582" s="2">
        <v>7.7123910000000002</v>
      </c>
    </row>
    <row r="583" spans="1:14" x14ac:dyDescent="0.35">
      <c r="A583" s="2" t="s">
        <v>590</v>
      </c>
      <c r="B583" s="3">
        <f t="shared" si="8"/>
        <v>44044</v>
      </c>
      <c r="C583" s="2">
        <v>1.032535</v>
      </c>
      <c r="D583" s="2">
        <v>2.4902220000000002</v>
      </c>
      <c r="E583" s="2">
        <v>2.815347</v>
      </c>
      <c r="F583" s="2">
        <v>6.337491</v>
      </c>
      <c r="G583" s="2">
        <v>0.72058800000000001</v>
      </c>
      <c r="H583" s="2">
        <v>7.9443E-2</v>
      </c>
      <c r="I583" s="2">
        <v>9.8930000000000008E-3</v>
      </c>
      <c r="J583" s="2">
        <v>5.2636000000000002E-2</v>
      </c>
      <c r="K583" s="2">
        <v>7.8575999999999993E-2</v>
      </c>
      <c r="L583" s="2">
        <v>0.38634400000000002</v>
      </c>
      <c r="M583" s="2">
        <v>0.60689199999999999</v>
      </c>
      <c r="N583" s="2">
        <v>7.6850430000000003</v>
      </c>
    </row>
    <row r="584" spans="1:14" x14ac:dyDescent="0.35">
      <c r="A584" s="2" t="s">
        <v>591</v>
      </c>
      <c r="B584" s="3">
        <f t="shared" si="8"/>
        <v>44075</v>
      </c>
      <c r="C584" s="2">
        <v>0.80560200000000004</v>
      </c>
      <c r="D584" s="2">
        <v>2.2338309999999999</v>
      </c>
      <c r="E584" s="2">
        <v>2.697219</v>
      </c>
      <c r="F584" s="2">
        <v>5.736059</v>
      </c>
      <c r="G584" s="2">
        <v>0.68658799999999998</v>
      </c>
      <c r="H584" s="2">
        <v>6.3731999999999997E-2</v>
      </c>
      <c r="I584" s="2">
        <v>9.5999999999999992E-3</v>
      </c>
      <c r="J584" s="2">
        <v>4.4866000000000003E-2</v>
      </c>
      <c r="K584" s="2">
        <v>7.9111000000000001E-2</v>
      </c>
      <c r="L584" s="2">
        <v>0.37558999999999998</v>
      </c>
      <c r="M584" s="2">
        <v>0.57289800000000002</v>
      </c>
      <c r="N584" s="2">
        <v>7.0083060000000001</v>
      </c>
    </row>
    <row r="585" spans="1:14" x14ac:dyDescent="0.35">
      <c r="A585" s="2" t="s">
        <v>592</v>
      </c>
      <c r="B585" s="3">
        <f t="shared" si="8"/>
        <v>44105</v>
      </c>
      <c r="C585" s="2">
        <v>0.72018000000000004</v>
      </c>
      <c r="D585" s="2">
        <v>2.4033530000000001</v>
      </c>
      <c r="E585" s="2">
        <v>2.8103039999999999</v>
      </c>
      <c r="F585" s="2">
        <v>5.9324839999999996</v>
      </c>
      <c r="G585" s="2">
        <v>0.62009999999999998</v>
      </c>
      <c r="H585" s="2">
        <v>6.4181000000000002E-2</v>
      </c>
      <c r="I585" s="2">
        <v>9.7719999999999994E-3</v>
      </c>
      <c r="J585" s="2">
        <v>4.0614999999999998E-2</v>
      </c>
      <c r="K585" s="2">
        <v>9.8343E-2</v>
      </c>
      <c r="L585" s="2">
        <v>0.37898700000000002</v>
      </c>
      <c r="M585" s="2">
        <v>0.59189700000000001</v>
      </c>
      <c r="N585" s="2">
        <v>7.1577349999999997</v>
      </c>
    </row>
    <row r="586" spans="1:14" x14ac:dyDescent="0.35">
      <c r="A586" s="2" t="s">
        <v>593</v>
      </c>
      <c r="B586" s="3">
        <f t="shared" si="8"/>
        <v>44136</v>
      </c>
      <c r="C586" s="2">
        <v>0.72945000000000004</v>
      </c>
      <c r="D586" s="2">
        <v>2.5340739999999999</v>
      </c>
      <c r="E586" s="2">
        <v>2.7095720000000001</v>
      </c>
      <c r="F586" s="2">
        <v>5.9709009999999996</v>
      </c>
      <c r="G586" s="2">
        <v>0.64514499999999997</v>
      </c>
      <c r="H586" s="2">
        <v>7.1286000000000002E-2</v>
      </c>
      <c r="I586" s="2">
        <v>9.9780000000000008E-3</v>
      </c>
      <c r="J586" s="2">
        <v>3.3019E-2</v>
      </c>
      <c r="K586" s="2">
        <v>0.113038</v>
      </c>
      <c r="L586" s="2">
        <v>0.38427</v>
      </c>
      <c r="M586" s="2">
        <v>0.61158999999999997</v>
      </c>
      <c r="N586" s="2">
        <v>7.2392820000000002</v>
      </c>
    </row>
    <row r="587" spans="1:14" x14ac:dyDescent="0.35">
      <c r="A587" s="2" t="s">
        <v>594</v>
      </c>
      <c r="B587" s="3">
        <f t="shared" si="8"/>
        <v>44166</v>
      </c>
      <c r="C587" s="2">
        <v>0.90859100000000004</v>
      </c>
      <c r="D587" s="2">
        <v>3.3030819999999999</v>
      </c>
      <c r="E587" s="2">
        <v>2.7989700000000002</v>
      </c>
      <c r="F587" s="2">
        <v>7.0093439999999996</v>
      </c>
      <c r="G587" s="2">
        <v>0.72987199999999997</v>
      </c>
      <c r="H587" s="2">
        <v>7.3385000000000006E-2</v>
      </c>
      <c r="I587" s="2">
        <v>1.0165E-2</v>
      </c>
      <c r="J587" s="2">
        <v>2.9734E-2</v>
      </c>
      <c r="K587" s="2">
        <v>0.10922</v>
      </c>
      <c r="L587" s="2">
        <v>0.40195900000000001</v>
      </c>
      <c r="M587" s="2">
        <v>0.62446299999999999</v>
      </c>
      <c r="N587" s="2">
        <v>8.3784270000000003</v>
      </c>
    </row>
    <row r="588" spans="1:14" x14ac:dyDescent="0.35">
      <c r="A588" s="2" t="s">
        <v>595</v>
      </c>
      <c r="B588" s="3">
        <f t="shared" si="8"/>
        <v>44197</v>
      </c>
      <c r="C588" s="2">
        <v>0.94740800000000003</v>
      </c>
      <c r="D588" s="2">
        <v>3.4529230000000002</v>
      </c>
      <c r="E588" s="2">
        <v>2.8128470000000001</v>
      </c>
      <c r="F588" s="2">
        <v>7.2100770000000001</v>
      </c>
      <c r="G588" s="2">
        <v>0.74809800000000004</v>
      </c>
      <c r="H588" s="2">
        <v>8.3798999999999998E-2</v>
      </c>
      <c r="I588" s="2">
        <v>9.9880000000000004E-3</v>
      </c>
      <c r="J588" s="2">
        <v>3.1947000000000003E-2</v>
      </c>
      <c r="K588" s="2">
        <v>0.102566</v>
      </c>
      <c r="L588" s="2">
        <v>0.37888300000000003</v>
      </c>
      <c r="M588" s="2">
        <v>0.60718399999999995</v>
      </c>
      <c r="N588" s="2">
        <v>8.5795019999999997</v>
      </c>
    </row>
    <row r="589" spans="1:14" x14ac:dyDescent="0.35">
      <c r="A589" s="2" t="s">
        <v>596</v>
      </c>
      <c r="B589" s="3">
        <f t="shared" ref="B589:B647" si="9">DATEVALUE(MID(A589, 6, 20) &amp; " 1, " &amp; LEFT(A589, 4))</f>
        <v>44228</v>
      </c>
      <c r="C589" s="2">
        <v>0.99594700000000003</v>
      </c>
      <c r="D589" s="2">
        <v>3.205492</v>
      </c>
      <c r="E589" s="2">
        <v>2.4146969999999999</v>
      </c>
      <c r="F589" s="2">
        <v>6.6135140000000003</v>
      </c>
      <c r="G589" s="2">
        <v>0.65654900000000005</v>
      </c>
      <c r="H589" s="2">
        <v>6.8706000000000003E-2</v>
      </c>
      <c r="I589" s="2">
        <v>9.2630000000000004E-3</v>
      </c>
      <c r="J589" s="2">
        <v>3.5471000000000003E-2</v>
      </c>
      <c r="K589" s="2">
        <v>9.1152999999999998E-2</v>
      </c>
      <c r="L589" s="2">
        <v>0.34207799999999999</v>
      </c>
      <c r="M589" s="2">
        <v>0.54667100000000002</v>
      </c>
      <c r="N589" s="2">
        <v>7.826721</v>
      </c>
    </row>
    <row r="590" spans="1:14" x14ac:dyDescent="0.35">
      <c r="A590" s="2" t="s">
        <v>597</v>
      </c>
      <c r="B590" s="3">
        <f t="shared" si="9"/>
        <v>44256</v>
      </c>
      <c r="C590" s="2">
        <v>0.74097199999999996</v>
      </c>
      <c r="D590" s="2">
        <v>2.7320310000000001</v>
      </c>
      <c r="E590" s="2">
        <v>2.8857919999999999</v>
      </c>
      <c r="F590" s="2">
        <v>6.3586390000000002</v>
      </c>
      <c r="G590" s="2">
        <v>0.66441300000000003</v>
      </c>
      <c r="H590" s="2">
        <v>7.2403999999999996E-2</v>
      </c>
      <c r="I590" s="2">
        <v>9.6299999999999997E-3</v>
      </c>
      <c r="J590" s="2">
        <v>5.1345000000000002E-2</v>
      </c>
      <c r="K590" s="2">
        <v>0.133768</v>
      </c>
      <c r="L590" s="2">
        <v>0.39947100000000002</v>
      </c>
      <c r="M590" s="2">
        <v>0.66661800000000004</v>
      </c>
      <c r="N590" s="2">
        <v>7.7027260000000002</v>
      </c>
    </row>
    <row r="591" spans="1:14" x14ac:dyDescent="0.35">
      <c r="A591" s="2" t="s">
        <v>598</v>
      </c>
      <c r="B591" s="3">
        <f t="shared" si="9"/>
        <v>44287</v>
      </c>
      <c r="C591" s="2">
        <v>0.65017499999999995</v>
      </c>
      <c r="D591" s="2">
        <v>2.3500610000000002</v>
      </c>
      <c r="E591" s="2">
        <v>2.8800690000000002</v>
      </c>
      <c r="F591" s="2">
        <v>5.8761659999999996</v>
      </c>
      <c r="G591" s="2">
        <v>0.59541299999999997</v>
      </c>
      <c r="H591" s="2">
        <v>6.6155000000000005E-2</v>
      </c>
      <c r="I591" s="2">
        <v>9.613E-3</v>
      </c>
      <c r="J591" s="2">
        <v>5.8922000000000002E-2</v>
      </c>
      <c r="K591" s="2">
        <v>0.12336999999999999</v>
      </c>
      <c r="L591" s="2">
        <v>0.38357799999999997</v>
      </c>
      <c r="M591" s="2">
        <v>0.64163899999999996</v>
      </c>
      <c r="N591" s="2">
        <v>7.1245599999999998</v>
      </c>
    </row>
    <row r="592" spans="1:14" x14ac:dyDescent="0.35">
      <c r="A592" s="2" t="s">
        <v>599</v>
      </c>
      <c r="B592" s="3">
        <f t="shared" si="9"/>
        <v>44317</v>
      </c>
      <c r="C592" s="2">
        <v>0.75935699999999995</v>
      </c>
      <c r="D592" s="2">
        <v>2.188936</v>
      </c>
      <c r="E592" s="2">
        <v>3.0099840000000002</v>
      </c>
      <c r="F592" s="2">
        <v>5.9545979999999998</v>
      </c>
      <c r="G592" s="2">
        <v>0.66113699999999997</v>
      </c>
      <c r="H592" s="2">
        <v>7.9530000000000003E-2</v>
      </c>
      <c r="I592" s="2">
        <v>9.9469999999999992E-3</v>
      </c>
      <c r="J592" s="2">
        <v>6.6399E-2</v>
      </c>
      <c r="K592" s="2">
        <v>0.11527999999999999</v>
      </c>
      <c r="L592" s="2">
        <v>0.41071800000000003</v>
      </c>
      <c r="M592" s="2">
        <v>0.68187299999999995</v>
      </c>
      <c r="N592" s="2">
        <v>7.3102140000000002</v>
      </c>
    </row>
    <row r="593" spans="1:14" x14ac:dyDescent="0.35">
      <c r="A593" s="2" t="s">
        <v>600</v>
      </c>
      <c r="B593" s="3">
        <f t="shared" si="9"/>
        <v>44348</v>
      </c>
      <c r="C593" s="2">
        <v>0.99728099999999997</v>
      </c>
      <c r="D593" s="2">
        <v>2.319404</v>
      </c>
      <c r="E593" s="2">
        <v>3.0093740000000002</v>
      </c>
      <c r="F593" s="2">
        <v>6.3200789999999998</v>
      </c>
      <c r="G593" s="2">
        <v>0.68904799999999999</v>
      </c>
      <c r="H593" s="2">
        <v>8.0024999999999999E-2</v>
      </c>
      <c r="I593" s="2">
        <v>9.5770000000000004E-3</v>
      </c>
      <c r="J593" s="2">
        <v>6.5720000000000001E-2</v>
      </c>
      <c r="K593" s="2">
        <v>9.1003000000000001E-2</v>
      </c>
      <c r="L593" s="2">
        <v>0.39851300000000001</v>
      </c>
      <c r="M593" s="2">
        <v>0.64483900000000005</v>
      </c>
      <c r="N593" s="2">
        <v>7.6691209999999996</v>
      </c>
    </row>
    <row r="594" spans="1:14" x14ac:dyDescent="0.35">
      <c r="A594" s="2" t="s">
        <v>601</v>
      </c>
      <c r="B594" s="3">
        <f t="shared" si="9"/>
        <v>44378</v>
      </c>
      <c r="C594" s="2">
        <v>1.16029</v>
      </c>
      <c r="D594" s="2">
        <v>2.5012189999999999</v>
      </c>
      <c r="E594" s="2">
        <v>3.0402</v>
      </c>
      <c r="F594" s="2">
        <v>6.6987930000000002</v>
      </c>
      <c r="G594" s="2">
        <v>0.71784499999999996</v>
      </c>
      <c r="H594" s="2">
        <v>7.5397000000000006E-2</v>
      </c>
      <c r="I594" s="2">
        <v>1.0002E-2</v>
      </c>
      <c r="J594" s="2">
        <v>6.6104999999999997E-2</v>
      </c>
      <c r="K594" s="2">
        <v>7.4093000000000006E-2</v>
      </c>
      <c r="L594" s="2">
        <v>0.41307100000000002</v>
      </c>
      <c r="M594" s="2">
        <v>0.63866699999999998</v>
      </c>
      <c r="N594" s="2">
        <v>8.0703650000000007</v>
      </c>
    </row>
    <row r="595" spans="1:14" x14ac:dyDescent="0.35">
      <c r="A595" s="2" t="s">
        <v>602</v>
      </c>
      <c r="B595" s="3">
        <f t="shared" si="9"/>
        <v>44409</v>
      </c>
      <c r="C595" s="2">
        <v>1.1579980000000001</v>
      </c>
      <c r="D595" s="2">
        <v>2.5205690000000001</v>
      </c>
      <c r="E595" s="2">
        <v>3.1108419999999999</v>
      </c>
      <c r="F595" s="2">
        <v>6.7843580000000001</v>
      </c>
      <c r="G595" s="2">
        <v>0.72451699999999997</v>
      </c>
      <c r="H595" s="2">
        <v>6.9360000000000005E-2</v>
      </c>
      <c r="I595" s="2">
        <v>9.9550000000000003E-3</v>
      </c>
      <c r="J595" s="2">
        <v>6.4073000000000005E-2</v>
      </c>
      <c r="K595" s="2">
        <v>9.2367000000000005E-2</v>
      </c>
      <c r="L595" s="2">
        <v>0.40692</v>
      </c>
      <c r="M595" s="2">
        <v>0.64267300000000005</v>
      </c>
      <c r="N595" s="2">
        <v>8.1630520000000004</v>
      </c>
    </row>
    <row r="596" spans="1:14" x14ac:dyDescent="0.35">
      <c r="A596" s="2" t="s">
        <v>603</v>
      </c>
      <c r="B596" s="3">
        <f t="shared" si="9"/>
        <v>44440</v>
      </c>
      <c r="C596" s="2">
        <v>0.92712000000000006</v>
      </c>
      <c r="D596" s="2">
        <v>2.2116349999999998</v>
      </c>
      <c r="E596" s="2">
        <v>2.9496570000000002</v>
      </c>
      <c r="F596" s="2">
        <v>6.082624</v>
      </c>
      <c r="G596" s="2">
        <v>0.672879</v>
      </c>
      <c r="H596" s="2">
        <v>5.808E-2</v>
      </c>
      <c r="I596" s="2">
        <v>9.8019999999999999E-3</v>
      </c>
      <c r="J596" s="2">
        <v>5.8887000000000002E-2</v>
      </c>
      <c r="K596" s="2">
        <v>9.8941000000000001E-2</v>
      </c>
      <c r="L596" s="2">
        <v>0.384903</v>
      </c>
      <c r="M596" s="2">
        <v>0.61061299999999996</v>
      </c>
      <c r="N596" s="2">
        <v>7.3754679999999997</v>
      </c>
    </row>
    <row r="597" spans="1:14" x14ac:dyDescent="0.35">
      <c r="A597" s="2" t="s">
        <v>604</v>
      </c>
      <c r="B597" s="3">
        <f t="shared" si="9"/>
        <v>44470</v>
      </c>
      <c r="C597" s="2">
        <v>0.76232299999999997</v>
      </c>
      <c r="D597" s="2">
        <v>2.336948</v>
      </c>
      <c r="E597" s="2">
        <v>3.0629360000000001</v>
      </c>
      <c r="F597" s="2">
        <v>6.1586629999999998</v>
      </c>
      <c r="G597" s="2">
        <v>0.60906499999999997</v>
      </c>
      <c r="H597" s="2">
        <v>5.8458000000000003E-2</v>
      </c>
      <c r="I597" s="2">
        <v>9.8930000000000008E-3</v>
      </c>
      <c r="J597" s="2">
        <v>4.9657E-2</v>
      </c>
      <c r="K597" s="2">
        <v>0.109918</v>
      </c>
      <c r="L597" s="2">
        <v>0.41338999999999998</v>
      </c>
      <c r="M597" s="2">
        <v>0.64131499999999997</v>
      </c>
      <c r="N597" s="2">
        <v>7.4187719999999997</v>
      </c>
    </row>
    <row r="598" spans="1:14" x14ac:dyDescent="0.35">
      <c r="A598" s="2" t="s">
        <v>605</v>
      </c>
      <c r="B598" s="3">
        <f t="shared" si="9"/>
        <v>44501</v>
      </c>
      <c r="C598" s="2">
        <v>0.70796800000000004</v>
      </c>
      <c r="D598" s="2">
        <v>2.7784710000000001</v>
      </c>
      <c r="E598" s="2">
        <v>2.9907819999999998</v>
      </c>
      <c r="F598" s="2">
        <v>6.472315</v>
      </c>
      <c r="G598" s="2">
        <v>0.65441300000000002</v>
      </c>
      <c r="H598" s="2">
        <v>6.6101999999999994E-2</v>
      </c>
      <c r="I598" s="2">
        <v>9.8790000000000006E-3</v>
      </c>
      <c r="J598" s="2">
        <v>4.1979000000000002E-2</v>
      </c>
      <c r="K598" s="2">
        <v>0.12198299999999999</v>
      </c>
      <c r="L598" s="2">
        <v>0.40342299999999998</v>
      </c>
      <c r="M598" s="2">
        <v>0.64336499999999996</v>
      </c>
      <c r="N598" s="2">
        <v>7.7740559999999999</v>
      </c>
    </row>
    <row r="599" spans="1:14" x14ac:dyDescent="0.35">
      <c r="A599" s="2" t="s">
        <v>606</v>
      </c>
      <c r="B599" s="3">
        <f t="shared" si="9"/>
        <v>44531</v>
      </c>
      <c r="C599" s="2">
        <v>0.74168599999999996</v>
      </c>
      <c r="D599" s="2">
        <v>3.1134279999999999</v>
      </c>
      <c r="E599" s="2">
        <v>3.075539</v>
      </c>
      <c r="F599" s="2">
        <v>6.9237789999999997</v>
      </c>
      <c r="G599" s="2">
        <v>0.737537</v>
      </c>
      <c r="H599" s="2">
        <v>8.0393000000000006E-2</v>
      </c>
      <c r="I599" s="2">
        <v>1.0458E-2</v>
      </c>
      <c r="J599" s="2">
        <v>3.4800999999999999E-2</v>
      </c>
      <c r="K599" s="2">
        <v>0.135965</v>
      </c>
      <c r="L599" s="2">
        <v>0.41822799999999999</v>
      </c>
      <c r="M599" s="2">
        <v>0.67984500000000003</v>
      </c>
      <c r="N599" s="2">
        <v>8.3493940000000002</v>
      </c>
    </row>
    <row r="600" spans="1:14" x14ac:dyDescent="0.35">
      <c r="A600" s="2" t="s">
        <v>607</v>
      </c>
      <c r="B600" s="3">
        <f t="shared" si="9"/>
        <v>44562</v>
      </c>
      <c r="C600" s="2">
        <v>1.007579</v>
      </c>
      <c r="D600" s="2">
        <v>3.7048390000000002</v>
      </c>
      <c r="E600" s="2">
        <v>2.915206</v>
      </c>
      <c r="F600" s="2">
        <v>7.6227559999999999</v>
      </c>
      <c r="G600" s="2">
        <v>0.73738700000000001</v>
      </c>
      <c r="H600" s="2">
        <v>8.2561999999999997E-2</v>
      </c>
      <c r="I600" s="2">
        <v>1.0409E-2</v>
      </c>
      <c r="J600" s="2">
        <v>4.1750000000000002E-2</v>
      </c>
      <c r="K600" s="2">
        <v>0.127664</v>
      </c>
      <c r="L600" s="2">
        <v>0.41423199999999999</v>
      </c>
      <c r="M600" s="2">
        <v>0.67661800000000005</v>
      </c>
      <c r="N600" s="2">
        <v>9.0469889999999999</v>
      </c>
    </row>
    <row r="601" spans="1:14" x14ac:dyDescent="0.35">
      <c r="A601" s="2" t="s">
        <v>608</v>
      </c>
      <c r="B601" s="3">
        <f t="shared" si="9"/>
        <v>44593</v>
      </c>
      <c r="C601" s="2">
        <v>0.83804900000000004</v>
      </c>
      <c r="D601" s="2">
        <v>3.1566920000000001</v>
      </c>
      <c r="E601" s="2">
        <v>2.7262490000000001</v>
      </c>
      <c r="F601" s="2">
        <v>6.7186360000000001</v>
      </c>
      <c r="G601" s="2">
        <v>0.64623200000000003</v>
      </c>
      <c r="H601" s="2">
        <v>7.2746000000000005E-2</v>
      </c>
      <c r="I601" s="2">
        <v>9.1120000000000003E-3</v>
      </c>
      <c r="J601" s="2">
        <v>4.7379999999999999E-2</v>
      </c>
      <c r="K601" s="2">
        <v>0.128443</v>
      </c>
      <c r="L601" s="2">
        <v>0.379492</v>
      </c>
      <c r="M601" s="2">
        <v>0.63717299999999999</v>
      </c>
      <c r="N601" s="2">
        <v>8.0082529999999998</v>
      </c>
    </row>
    <row r="602" spans="1:14" x14ac:dyDescent="0.35">
      <c r="A602" s="2" t="s">
        <v>609</v>
      </c>
      <c r="B602" s="3">
        <f t="shared" si="9"/>
        <v>44621</v>
      </c>
      <c r="C602" s="2">
        <v>0.73303300000000005</v>
      </c>
      <c r="D602" s="2">
        <v>2.875578</v>
      </c>
      <c r="E602" s="2">
        <v>3.0625650000000002</v>
      </c>
      <c r="F602" s="2">
        <v>6.6664240000000001</v>
      </c>
      <c r="G602" s="2">
        <v>0.65983000000000003</v>
      </c>
      <c r="H602" s="2">
        <v>8.3377000000000007E-2</v>
      </c>
      <c r="I602" s="2">
        <v>9.7820000000000008E-3</v>
      </c>
      <c r="J602" s="2">
        <v>6.2745999999999996E-2</v>
      </c>
      <c r="K602" s="2">
        <v>0.14682000000000001</v>
      </c>
      <c r="L602" s="2">
        <v>0.42278399999999999</v>
      </c>
      <c r="M602" s="2">
        <v>0.72550899999999996</v>
      </c>
      <c r="N602" s="2">
        <v>8.0585740000000001</v>
      </c>
    </row>
    <row r="603" spans="1:14" x14ac:dyDescent="0.35">
      <c r="A603" s="2" t="s">
        <v>610</v>
      </c>
      <c r="B603" s="3">
        <f t="shared" si="9"/>
        <v>44652</v>
      </c>
      <c r="C603" s="2">
        <v>0.66273700000000002</v>
      </c>
      <c r="D603" s="2">
        <v>2.4368940000000001</v>
      </c>
      <c r="E603" s="2">
        <v>2.8578600000000001</v>
      </c>
      <c r="F603" s="2">
        <v>5.9522659999999998</v>
      </c>
      <c r="G603" s="2">
        <v>0.57766499999999998</v>
      </c>
      <c r="H603" s="2">
        <v>6.8464999999999998E-2</v>
      </c>
      <c r="I603" s="2">
        <v>9.5940000000000001E-3</v>
      </c>
      <c r="J603" s="2">
        <v>7.1024000000000004E-2</v>
      </c>
      <c r="K603" s="2">
        <v>0.157522</v>
      </c>
      <c r="L603" s="2">
        <v>0.40337899999999999</v>
      </c>
      <c r="M603" s="2">
        <v>0.70998399999999995</v>
      </c>
      <c r="N603" s="2">
        <v>7.2484320000000002</v>
      </c>
    </row>
    <row r="604" spans="1:14" x14ac:dyDescent="0.35">
      <c r="A604" s="2" t="s">
        <v>611</v>
      </c>
      <c r="B604" s="3">
        <f t="shared" si="9"/>
        <v>44682</v>
      </c>
      <c r="C604" s="2">
        <v>0.74501399999999995</v>
      </c>
      <c r="D604" s="2">
        <v>2.314476</v>
      </c>
      <c r="E604" s="2">
        <v>2.9823590000000002</v>
      </c>
      <c r="F604" s="2">
        <v>6.0323010000000004</v>
      </c>
      <c r="G604" s="2">
        <v>0.66221099999999999</v>
      </c>
      <c r="H604" s="2">
        <v>7.9699999999999993E-2</v>
      </c>
      <c r="I604" s="2">
        <v>9.9209999999999993E-3</v>
      </c>
      <c r="J604" s="2">
        <v>7.9408000000000006E-2</v>
      </c>
      <c r="K604" s="2">
        <v>0.14372599999999999</v>
      </c>
      <c r="L604" s="2">
        <v>0.42256700000000003</v>
      </c>
      <c r="M604" s="2">
        <v>0.73532200000000003</v>
      </c>
      <c r="N604" s="2">
        <v>7.4392740000000002</v>
      </c>
    </row>
    <row r="605" spans="1:14" x14ac:dyDescent="0.35">
      <c r="A605" s="2" t="s">
        <v>612</v>
      </c>
      <c r="B605" s="3">
        <f t="shared" si="9"/>
        <v>44713</v>
      </c>
      <c r="C605" s="2">
        <v>0.86961500000000003</v>
      </c>
      <c r="D605" s="2">
        <v>2.394304</v>
      </c>
      <c r="E605" s="2">
        <v>2.966717</v>
      </c>
      <c r="F605" s="2">
        <v>6.2271089999999996</v>
      </c>
      <c r="G605" s="2">
        <v>0.68659499999999996</v>
      </c>
      <c r="H605" s="2">
        <v>8.8669999999999999E-2</v>
      </c>
      <c r="I605" s="2">
        <v>9.5739999999999992E-3</v>
      </c>
      <c r="J605" s="2">
        <v>8.2558000000000006E-2</v>
      </c>
      <c r="K605" s="2">
        <v>0.115215</v>
      </c>
      <c r="L605" s="2">
        <v>0.42427900000000002</v>
      </c>
      <c r="M605" s="2">
        <v>0.72029600000000005</v>
      </c>
      <c r="N605" s="2">
        <v>7.6489599999999998</v>
      </c>
    </row>
    <row r="606" spans="1:14" x14ac:dyDescent="0.35">
      <c r="A606" s="2" t="s">
        <v>613</v>
      </c>
      <c r="B606" s="3">
        <f t="shared" si="9"/>
        <v>44743</v>
      </c>
      <c r="C606" s="2">
        <v>1.0176769999999999</v>
      </c>
      <c r="D606" s="2">
        <v>2.6763659999999998</v>
      </c>
      <c r="E606" s="2">
        <v>2.9857209999999998</v>
      </c>
      <c r="F606" s="2">
        <v>6.6752560000000001</v>
      </c>
      <c r="G606" s="2">
        <v>0.71941699999999997</v>
      </c>
      <c r="H606" s="2">
        <v>8.3823999999999996E-2</v>
      </c>
      <c r="I606" s="2">
        <v>9.9699999999999997E-3</v>
      </c>
      <c r="J606" s="2">
        <v>8.251E-2</v>
      </c>
      <c r="K606" s="2">
        <v>0.10056900000000001</v>
      </c>
      <c r="L606" s="2">
        <v>0.42532300000000001</v>
      </c>
      <c r="M606" s="2">
        <v>0.70219600000000004</v>
      </c>
      <c r="N606" s="2">
        <v>8.115513</v>
      </c>
    </row>
    <row r="607" spans="1:14" x14ac:dyDescent="0.35">
      <c r="A607" s="2" t="s">
        <v>614</v>
      </c>
      <c r="B607" s="3">
        <f t="shared" si="9"/>
        <v>44774</v>
      </c>
      <c r="C607" s="2">
        <v>0.99664699999999995</v>
      </c>
      <c r="D607" s="2">
        <v>2.6525989999999999</v>
      </c>
      <c r="E607" s="2">
        <v>3.063955</v>
      </c>
      <c r="F607" s="2">
        <v>6.7088419999999998</v>
      </c>
      <c r="G607" s="2">
        <v>0.719835</v>
      </c>
      <c r="H607" s="2">
        <v>7.2106000000000003E-2</v>
      </c>
      <c r="I607" s="2">
        <v>1.0012999999999999E-2</v>
      </c>
      <c r="J607" s="2">
        <v>7.7114000000000002E-2</v>
      </c>
      <c r="K607" s="2">
        <v>8.4338999999999997E-2</v>
      </c>
      <c r="L607" s="2">
        <v>0.43133199999999999</v>
      </c>
      <c r="M607" s="2">
        <v>0.67490499999999998</v>
      </c>
      <c r="N607" s="2">
        <v>8.1237569999999995</v>
      </c>
    </row>
    <row r="608" spans="1:14" x14ac:dyDescent="0.35">
      <c r="A608" s="2" t="s">
        <v>615</v>
      </c>
      <c r="B608" s="3">
        <f t="shared" si="9"/>
        <v>44805</v>
      </c>
      <c r="C608" s="2">
        <v>0.78334999999999999</v>
      </c>
      <c r="D608" s="2">
        <v>2.3697050000000002</v>
      </c>
      <c r="E608" s="2">
        <v>2.9431020000000001</v>
      </c>
      <c r="F608" s="2">
        <v>6.091475</v>
      </c>
      <c r="G608" s="2">
        <v>0.66588400000000003</v>
      </c>
      <c r="H608" s="2">
        <v>5.8092999999999999E-2</v>
      </c>
      <c r="I608" s="2">
        <v>9.7549999999999998E-3</v>
      </c>
      <c r="J608" s="2">
        <v>7.0065000000000002E-2</v>
      </c>
      <c r="K608" s="2">
        <v>9.3254000000000004E-2</v>
      </c>
      <c r="L608" s="2">
        <v>0.396897</v>
      </c>
      <c r="M608" s="2">
        <v>0.62806399999999996</v>
      </c>
      <c r="N608" s="2">
        <v>7.398517</v>
      </c>
    </row>
    <row r="609" spans="1:14" x14ac:dyDescent="0.35">
      <c r="A609" s="2" t="s">
        <v>616</v>
      </c>
      <c r="B609" s="3">
        <f t="shared" si="9"/>
        <v>44835</v>
      </c>
      <c r="C609" s="2">
        <v>0.67339000000000004</v>
      </c>
      <c r="D609" s="2">
        <v>2.4408729999999998</v>
      </c>
      <c r="E609" s="2">
        <v>2.999428</v>
      </c>
      <c r="F609" s="2">
        <v>6.1098140000000001</v>
      </c>
      <c r="G609" s="2">
        <v>0.61586099999999999</v>
      </c>
      <c r="H609" s="2">
        <v>4.9022000000000003E-2</v>
      </c>
      <c r="I609" s="2">
        <v>9.8239999999999994E-3</v>
      </c>
      <c r="J609" s="2">
        <v>6.3148999999999997E-2</v>
      </c>
      <c r="K609" s="2">
        <v>0.111725</v>
      </c>
      <c r="L609" s="2">
        <v>0.423234</v>
      </c>
      <c r="M609" s="2">
        <v>0.65695300000000001</v>
      </c>
      <c r="N609" s="2">
        <v>7.3924820000000002</v>
      </c>
    </row>
    <row r="610" spans="1:14" x14ac:dyDescent="0.35">
      <c r="A610" s="2" t="s">
        <v>617</v>
      </c>
      <c r="B610" s="3">
        <f t="shared" si="9"/>
        <v>44866</v>
      </c>
      <c r="C610" s="2">
        <v>0.69022799999999995</v>
      </c>
      <c r="D610" s="2">
        <v>2.8622329999999998</v>
      </c>
      <c r="E610" s="2">
        <v>2.9310670000000001</v>
      </c>
      <c r="F610" s="2">
        <v>6.4807459999999999</v>
      </c>
      <c r="G610" s="2">
        <v>0.64820699999999998</v>
      </c>
      <c r="H610" s="2">
        <v>6.1067999999999997E-2</v>
      </c>
      <c r="I610" s="2">
        <v>9.9850000000000008E-3</v>
      </c>
      <c r="J610" s="2">
        <v>4.6670000000000003E-2</v>
      </c>
      <c r="K610" s="2">
        <v>0.14057</v>
      </c>
      <c r="L610" s="2">
        <v>0.41684599999999999</v>
      </c>
      <c r="M610" s="2">
        <v>0.67513999999999996</v>
      </c>
      <c r="N610" s="2">
        <v>7.8130559999999996</v>
      </c>
    </row>
    <row r="611" spans="1:14" x14ac:dyDescent="0.35">
      <c r="A611" s="2" t="s">
        <v>618</v>
      </c>
      <c r="B611" s="3">
        <f t="shared" si="9"/>
        <v>44896</v>
      </c>
      <c r="C611" s="2">
        <v>0.87061999999999995</v>
      </c>
      <c r="D611" s="2">
        <v>3.494068</v>
      </c>
      <c r="E611" s="2">
        <v>2.884344</v>
      </c>
      <c r="F611" s="2">
        <v>7.2436870000000004</v>
      </c>
      <c r="G611" s="2">
        <v>0.72189599999999998</v>
      </c>
      <c r="H611" s="2">
        <v>6.9706000000000004E-2</v>
      </c>
      <c r="I611" s="2">
        <v>1.0449999999999999E-2</v>
      </c>
      <c r="J611" s="2">
        <v>3.9621000000000003E-2</v>
      </c>
      <c r="K611" s="2">
        <v>0.13197500000000001</v>
      </c>
      <c r="L611" s="2">
        <v>0.41981400000000002</v>
      </c>
      <c r="M611" s="2">
        <v>0.67156499999999997</v>
      </c>
      <c r="N611" s="2">
        <v>8.6508679999999991</v>
      </c>
    </row>
    <row r="612" spans="1:14" x14ac:dyDescent="0.35">
      <c r="A612" s="2" t="s">
        <v>619</v>
      </c>
      <c r="B612" s="3">
        <f t="shared" si="9"/>
        <v>44927</v>
      </c>
      <c r="C612" s="2">
        <v>0.74999099999999996</v>
      </c>
      <c r="D612" s="2">
        <v>3.428944</v>
      </c>
      <c r="E612" s="2">
        <v>2.8683079999999999</v>
      </c>
      <c r="F612" s="2">
        <v>7.0440290000000001</v>
      </c>
      <c r="G612" s="2">
        <v>0.740734</v>
      </c>
      <c r="H612" s="2">
        <v>7.7636999999999998E-2</v>
      </c>
      <c r="I612" s="2">
        <v>1.0238000000000001E-2</v>
      </c>
      <c r="J612" s="2">
        <v>4.3674999999999999E-2</v>
      </c>
      <c r="K612" s="2">
        <v>0.13087699999999999</v>
      </c>
      <c r="L612" s="2">
        <v>0.41785</v>
      </c>
      <c r="M612" s="2">
        <v>0.68027800000000005</v>
      </c>
      <c r="N612" s="2">
        <v>8.4762509999999995</v>
      </c>
    </row>
    <row r="613" spans="1:14" x14ac:dyDescent="0.35">
      <c r="A613" s="2" t="s">
        <v>620</v>
      </c>
      <c r="B613" s="3">
        <f t="shared" si="9"/>
        <v>44958</v>
      </c>
      <c r="C613" s="2">
        <v>0.58209299999999997</v>
      </c>
      <c r="D613" s="2">
        <v>3.0574539999999999</v>
      </c>
      <c r="E613" s="2">
        <v>2.677937</v>
      </c>
      <c r="F613" s="2">
        <v>6.3153259999999998</v>
      </c>
      <c r="G613" s="2">
        <v>0.63555300000000003</v>
      </c>
      <c r="H613" s="2">
        <v>6.8107000000000001E-2</v>
      </c>
      <c r="I613" s="2">
        <v>9.3120000000000008E-3</v>
      </c>
      <c r="J613" s="2">
        <v>5.0934E-2</v>
      </c>
      <c r="K613" s="2">
        <v>0.14133999999999999</v>
      </c>
      <c r="L613" s="2">
        <v>0.37598700000000002</v>
      </c>
      <c r="M613" s="2">
        <v>0.64568000000000003</v>
      </c>
      <c r="N613" s="2">
        <v>7.6031930000000001</v>
      </c>
    </row>
    <row r="614" spans="1:14" x14ac:dyDescent="0.35">
      <c r="A614" s="2" t="s">
        <v>621</v>
      </c>
      <c r="B614" s="3">
        <f t="shared" si="9"/>
        <v>44986</v>
      </c>
      <c r="C614" s="2">
        <v>0.62001200000000001</v>
      </c>
      <c r="D614" s="2">
        <v>3.1294900000000001</v>
      </c>
      <c r="E614" s="2">
        <v>3.005884</v>
      </c>
      <c r="F614" s="2">
        <v>6.7533580000000004</v>
      </c>
      <c r="G614" s="2">
        <v>0.65659900000000004</v>
      </c>
      <c r="H614" s="2">
        <v>7.2783E-2</v>
      </c>
      <c r="I614" s="2">
        <v>1.0312999999999999E-2</v>
      </c>
      <c r="J614" s="2">
        <v>6.7324999999999996E-2</v>
      </c>
      <c r="K614" s="2">
        <v>0.14870800000000001</v>
      </c>
      <c r="L614" s="2">
        <v>0.42380899999999999</v>
      </c>
      <c r="M614" s="2">
        <v>0.72293700000000005</v>
      </c>
      <c r="N614" s="2">
        <v>8.1416360000000001</v>
      </c>
    </row>
    <row r="615" spans="1:14" x14ac:dyDescent="0.35">
      <c r="A615" s="2" t="s">
        <v>622</v>
      </c>
      <c r="B615" s="3">
        <f t="shared" si="9"/>
        <v>45017</v>
      </c>
      <c r="C615" s="2">
        <v>0.50001200000000001</v>
      </c>
      <c r="D615" s="2">
        <v>2.4998749999999998</v>
      </c>
      <c r="E615" s="2">
        <v>2.8777499999999998</v>
      </c>
      <c r="F615" s="2">
        <v>5.8761260000000002</v>
      </c>
      <c r="G615" s="2">
        <v>0.59223599999999998</v>
      </c>
      <c r="H615" s="2">
        <v>6.7625000000000005E-2</v>
      </c>
      <c r="I615" s="2">
        <v>9.8440000000000003E-3</v>
      </c>
      <c r="J615" s="2">
        <v>8.0195000000000002E-2</v>
      </c>
      <c r="K615" s="2">
        <v>0.14584800000000001</v>
      </c>
      <c r="L615" s="2">
        <v>0.39496100000000001</v>
      </c>
      <c r="M615" s="2">
        <v>0.69847199999999998</v>
      </c>
      <c r="N615" s="2">
        <v>7.1733599999999997</v>
      </c>
    </row>
    <row r="616" spans="1:14" x14ac:dyDescent="0.35">
      <c r="A616" s="2" t="s">
        <v>623</v>
      </c>
      <c r="B616" s="3">
        <f t="shared" si="9"/>
        <v>45047</v>
      </c>
      <c r="C616" s="2">
        <v>0.55040299999999998</v>
      </c>
      <c r="D616" s="2">
        <v>2.3861309999999998</v>
      </c>
      <c r="E616" s="2">
        <v>3.0138189999999998</v>
      </c>
      <c r="F616" s="2">
        <v>5.9475410000000002</v>
      </c>
      <c r="G616" s="2">
        <v>0.63919400000000004</v>
      </c>
      <c r="H616" s="2">
        <v>9.4345999999999999E-2</v>
      </c>
      <c r="I616" s="2">
        <v>9.9830000000000006E-3</v>
      </c>
      <c r="J616" s="2">
        <v>9.1190999999999994E-2</v>
      </c>
      <c r="K616" s="2">
        <v>0.109959</v>
      </c>
      <c r="L616" s="2">
        <v>0.433753</v>
      </c>
      <c r="M616" s="2">
        <v>0.739232</v>
      </c>
      <c r="N616" s="2">
        <v>7.3349219999999997</v>
      </c>
    </row>
    <row r="617" spans="1:14" x14ac:dyDescent="0.35">
      <c r="A617" s="2" t="s">
        <v>624</v>
      </c>
      <c r="B617" s="3">
        <f t="shared" si="9"/>
        <v>45078</v>
      </c>
      <c r="C617" s="2">
        <v>0.70464599999999999</v>
      </c>
      <c r="D617" s="2">
        <v>2.4440080000000002</v>
      </c>
      <c r="E617" s="2">
        <v>2.9913530000000002</v>
      </c>
      <c r="F617" s="2">
        <v>6.1376530000000002</v>
      </c>
      <c r="G617" s="2">
        <v>0.67749000000000004</v>
      </c>
      <c r="H617" s="2">
        <v>7.3604000000000003E-2</v>
      </c>
      <c r="I617" s="2">
        <v>9.6319999999999999E-3</v>
      </c>
      <c r="J617" s="2">
        <v>9.2488000000000001E-2</v>
      </c>
      <c r="K617" s="2">
        <v>9.3990000000000004E-2</v>
      </c>
      <c r="L617" s="2">
        <v>0.421128</v>
      </c>
      <c r="M617" s="2">
        <v>0.69084299999999998</v>
      </c>
      <c r="N617" s="2">
        <v>7.5117500000000001</v>
      </c>
    </row>
    <row r="618" spans="1:14" x14ac:dyDescent="0.35">
      <c r="A618" s="2" t="s">
        <v>625</v>
      </c>
      <c r="B618" s="3">
        <f t="shared" si="9"/>
        <v>45108</v>
      </c>
      <c r="C618" s="2">
        <v>0.912435</v>
      </c>
      <c r="D618" s="2">
        <v>2.7607080000000002</v>
      </c>
      <c r="E618" s="2">
        <v>2.9750040000000002</v>
      </c>
      <c r="F618" s="2">
        <v>6.6449020000000001</v>
      </c>
      <c r="G618" s="2">
        <v>0.73046500000000003</v>
      </c>
      <c r="H618" s="2">
        <v>7.4987999999999999E-2</v>
      </c>
      <c r="I618" s="2">
        <v>9.8150000000000008E-3</v>
      </c>
      <c r="J618" s="2">
        <v>9.7450999999999996E-2</v>
      </c>
      <c r="K618" s="2">
        <v>9.5551999999999998E-2</v>
      </c>
      <c r="L618" s="2">
        <v>0.42288900000000001</v>
      </c>
      <c r="M618" s="2">
        <v>0.70069499999999996</v>
      </c>
      <c r="N618" s="2">
        <v>8.0802639999999997</v>
      </c>
    </row>
    <row r="619" spans="1:14" x14ac:dyDescent="0.35">
      <c r="A619" s="2" t="s">
        <v>626</v>
      </c>
      <c r="B619" s="3">
        <f t="shared" si="9"/>
        <v>45139</v>
      </c>
      <c r="C619" s="2">
        <v>0.90264900000000003</v>
      </c>
      <c r="D619" s="2">
        <v>2.7720630000000002</v>
      </c>
      <c r="E619" s="2">
        <v>3.1077669999999999</v>
      </c>
      <c r="F619" s="2">
        <v>6.7799189999999996</v>
      </c>
      <c r="G619" s="2">
        <v>0.72896499999999997</v>
      </c>
      <c r="H619" s="2">
        <v>7.2651999999999994E-2</v>
      </c>
      <c r="I619" s="2">
        <v>9.7160000000000007E-3</v>
      </c>
      <c r="J619" s="2">
        <v>9.2601000000000003E-2</v>
      </c>
      <c r="K619" s="2">
        <v>9.6880999999999995E-2</v>
      </c>
      <c r="L619" s="2">
        <v>0.43581300000000001</v>
      </c>
      <c r="M619" s="2">
        <v>0.70766300000000004</v>
      </c>
      <c r="N619" s="2">
        <v>8.2212700000000005</v>
      </c>
    </row>
    <row r="620" spans="1:14" x14ac:dyDescent="0.35">
      <c r="A620" s="2" t="s">
        <v>627</v>
      </c>
      <c r="B620" s="3">
        <f t="shared" si="9"/>
        <v>45170</v>
      </c>
      <c r="C620" s="2">
        <v>0.71623999999999999</v>
      </c>
      <c r="D620" s="2">
        <v>2.4648180000000002</v>
      </c>
      <c r="E620" s="2">
        <v>2.9107150000000002</v>
      </c>
      <c r="F620" s="2">
        <v>6.087872</v>
      </c>
      <c r="G620" s="2">
        <v>0.68523000000000001</v>
      </c>
      <c r="H620" s="2">
        <v>5.7716000000000003E-2</v>
      </c>
      <c r="I620" s="2">
        <v>9.7050000000000001E-3</v>
      </c>
      <c r="J620" s="2">
        <v>8.1383999999999998E-2</v>
      </c>
      <c r="K620" s="2">
        <v>9.6741999999999995E-2</v>
      </c>
      <c r="L620" s="2">
        <v>0.41310599999999997</v>
      </c>
      <c r="M620" s="2">
        <v>0.65865200000000002</v>
      </c>
      <c r="N620" s="2">
        <v>7.4320490000000001</v>
      </c>
    </row>
    <row r="621" spans="1:14" x14ac:dyDescent="0.35">
      <c r="A621" s="2" t="s">
        <v>628</v>
      </c>
      <c r="B621" s="3">
        <f t="shared" si="9"/>
        <v>45200</v>
      </c>
      <c r="C621" s="2">
        <v>0.62749200000000005</v>
      </c>
      <c r="D621" s="2">
        <v>2.5231050000000002</v>
      </c>
      <c r="E621" s="2">
        <v>3.0668150000000001</v>
      </c>
      <c r="F621" s="2">
        <v>6.215732</v>
      </c>
      <c r="G621" s="2">
        <v>0.64212499999999995</v>
      </c>
      <c r="H621" s="2">
        <v>5.3475000000000002E-2</v>
      </c>
      <c r="I621" s="2">
        <v>1.0238000000000001E-2</v>
      </c>
      <c r="J621" s="2">
        <v>7.4137999999999996E-2</v>
      </c>
      <c r="K621" s="2">
        <v>0.1229</v>
      </c>
      <c r="L621" s="2">
        <v>0.42696699999999999</v>
      </c>
      <c r="M621" s="2">
        <v>0.68771700000000002</v>
      </c>
      <c r="N621" s="2">
        <v>7.5462740000000004</v>
      </c>
    </row>
    <row r="622" spans="1:14" x14ac:dyDescent="0.35">
      <c r="A622" s="2" t="s">
        <v>629</v>
      </c>
      <c r="B622" s="3">
        <f t="shared" si="9"/>
        <v>45231</v>
      </c>
      <c r="C622" s="2">
        <v>0.62908600000000003</v>
      </c>
      <c r="D622" s="2">
        <v>2.920134</v>
      </c>
      <c r="E622" s="2">
        <v>2.9782860000000002</v>
      </c>
      <c r="F622" s="2">
        <v>6.5253119999999996</v>
      </c>
      <c r="G622" s="2">
        <v>0.65071699999999999</v>
      </c>
      <c r="H622" s="2">
        <v>5.8091999999999998E-2</v>
      </c>
      <c r="I622" s="2">
        <v>1.0130999999999999E-2</v>
      </c>
      <c r="J622" s="2">
        <v>5.6739999999999999E-2</v>
      </c>
      <c r="K622" s="2">
        <v>0.124352</v>
      </c>
      <c r="L622" s="2">
        <v>0.41578100000000001</v>
      </c>
      <c r="M622" s="2">
        <v>0.66509600000000002</v>
      </c>
      <c r="N622" s="2">
        <v>7.8433099999999998</v>
      </c>
    </row>
    <row r="623" spans="1:14" x14ac:dyDescent="0.35">
      <c r="A623" s="2" t="s">
        <v>630</v>
      </c>
      <c r="B623" s="3">
        <f t="shared" si="9"/>
        <v>45261</v>
      </c>
      <c r="C623" s="2">
        <v>0.67572900000000002</v>
      </c>
      <c r="D623" s="2">
        <v>3.2891789999999999</v>
      </c>
      <c r="E623" s="2">
        <v>2.9745970000000002</v>
      </c>
      <c r="F623" s="2">
        <v>6.9347260000000004</v>
      </c>
      <c r="G623" s="2">
        <v>0.71966600000000003</v>
      </c>
      <c r="H623" s="2">
        <v>6.4921999999999994E-2</v>
      </c>
      <c r="I623" s="2">
        <v>1.0418E-2</v>
      </c>
      <c r="J623" s="2">
        <v>5.0292000000000003E-2</v>
      </c>
      <c r="K623" s="2">
        <v>0.12978700000000001</v>
      </c>
      <c r="L623" s="2">
        <v>0.43992300000000001</v>
      </c>
      <c r="M623" s="2">
        <v>0.69534200000000002</v>
      </c>
      <c r="N623" s="2">
        <v>8.3543009999999995</v>
      </c>
    </row>
    <row r="624" spans="1:14" x14ac:dyDescent="0.35">
      <c r="A624" s="2" t="s">
        <v>631</v>
      </c>
      <c r="B624" s="3">
        <f t="shared" si="9"/>
        <v>45292</v>
      </c>
      <c r="C624" s="2">
        <v>0.87894700000000003</v>
      </c>
      <c r="D624" s="2">
        <v>3.8594780000000002</v>
      </c>
      <c r="E624" s="2">
        <v>2.914104</v>
      </c>
      <c r="F624" s="2">
        <v>7.6517939999999998</v>
      </c>
      <c r="G624" s="2">
        <v>0.72140000000000004</v>
      </c>
      <c r="H624" s="2">
        <v>7.3541999999999996E-2</v>
      </c>
      <c r="I624" s="2">
        <v>1.0152E-2</v>
      </c>
      <c r="J624" s="2">
        <v>5.2444999999999999E-2</v>
      </c>
      <c r="K624" s="2">
        <v>0.11870600000000001</v>
      </c>
      <c r="L624" s="2">
        <v>0.41230699999999998</v>
      </c>
      <c r="M624" s="2">
        <v>0.66715199999999997</v>
      </c>
      <c r="N624" s="2">
        <v>9.0462720000000001</v>
      </c>
    </row>
    <row r="625" spans="1:14" x14ac:dyDescent="0.35">
      <c r="A625" s="2" t="s">
        <v>632</v>
      </c>
      <c r="B625" s="3">
        <f t="shared" si="9"/>
        <v>45323</v>
      </c>
      <c r="C625" s="2">
        <v>0.56219600000000003</v>
      </c>
      <c r="D625" s="2">
        <v>3.0687289999999998</v>
      </c>
      <c r="E625" s="2">
        <v>2.7339419999999999</v>
      </c>
      <c r="F625" s="2">
        <v>6.3633100000000002</v>
      </c>
      <c r="G625" s="2">
        <v>0.67444899999999997</v>
      </c>
      <c r="H625" s="2">
        <v>7.0954000000000003E-2</v>
      </c>
      <c r="I625" s="2">
        <v>9.476E-3</v>
      </c>
      <c r="J625" s="2">
        <v>6.5105999999999997E-2</v>
      </c>
      <c r="K625" s="2">
        <v>0.13982900000000001</v>
      </c>
      <c r="L625" s="2">
        <v>0.41065299999999999</v>
      </c>
      <c r="M625" s="2">
        <v>0.69601800000000003</v>
      </c>
      <c r="N625" s="2">
        <v>7.734324</v>
      </c>
    </row>
    <row r="626" spans="1:14" x14ac:dyDescent="0.35">
      <c r="A626" s="2" t="s">
        <v>633</v>
      </c>
      <c r="B626" s="3">
        <f t="shared" si="9"/>
        <v>45352</v>
      </c>
      <c r="C626" s="2">
        <v>0.49379699999999999</v>
      </c>
      <c r="D626" s="2">
        <v>2.8959980000000001</v>
      </c>
      <c r="E626" s="2">
        <v>2.9438430000000002</v>
      </c>
      <c r="F626" s="2">
        <v>6.329555</v>
      </c>
      <c r="G626" s="2">
        <v>0.66152</v>
      </c>
      <c r="H626" s="2">
        <v>7.9713000000000006E-2</v>
      </c>
      <c r="I626" s="2">
        <v>1.0017E-2</v>
      </c>
      <c r="J626" s="2">
        <v>8.4310999999999997E-2</v>
      </c>
      <c r="K626" s="2">
        <v>0.153888</v>
      </c>
      <c r="L626" s="2">
        <v>0.42749500000000001</v>
      </c>
      <c r="M626" s="2">
        <v>0.75542299999999996</v>
      </c>
      <c r="N626" s="2">
        <v>7.7453089999999998</v>
      </c>
    </row>
    <row r="627" spans="1:14" x14ac:dyDescent="0.35">
      <c r="A627" s="2" t="s">
        <v>634</v>
      </c>
      <c r="B627" s="3">
        <f t="shared" si="9"/>
        <v>45383</v>
      </c>
      <c r="C627" s="2">
        <v>0.46742800000000001</v>
      </c>
      <c r="D627" s="2">
        <v>2.4804050000000002</v>
      </c>
      <c r="E627" s="2">
        <v>2.8881190000000001</v>
      </c>
      <c r="F627" s="2">
        <v>5.8315099999999997</v>
      </c>
      <c r="G627" s="2">
        <v>0.60091000000000006</v>
      </c>
      <c r="H627" s="2">
        <v>7.1364999999999998E-2</v>
      </c>
      <c r="I627" s="2">
        <v>9.5709999999999996E-3</v>
      </c>
      <c r="J627" s="2">
        <v>9.8327999999999999E-2</v>
      </c>
      <c r="K627" s="2">
        <v>0.160666</v>
      </c>
      <c r="L627" s="2">
        <v>0.40901399999999999</v>
      </c>
      <c r="M627" s="2">
        <v>0.74894400000000005</v>
      </c>
      <c r="N627" s="2">
        <v>7.1797839999999997</v>
      </c>
    </row>
    <row r="628" spans="1:14" x14ac:dyDescent="0.35">
      <c r="A628" s="2" t="s">
        <v>635</v>
      </c>
      <c r="B628" s="3">
        <f t="shared" si="9"/>
        <v>45413</v>
      </c>
      <c r="C628" s="2">
        <v>0.56319799999999998</v>
      </c>
      <c r="D628" s="2">
        <v>2.4168400000000001</v>
      </c>
      <c r="E628" s="2">
        <v>3.0891820000000001</v>
      </c>
      <c r="F628" s="2">
        <v>6.066764</v>
      </c>
      <c r="G628" s="2">
        <v>0.67851300000000003</v>
      </c>
      <c r="H628" s="2">
        <v>8.3516000000000007E-2</v>
      </c>
      <c r="I628" s="2">
        <v>9.6310000000000007E-3</v>
      </c>
      <c r="J628" s="2">
        <v>0.111958</v>
      </c>
      <c r="K628" s="2">
        <v>0.13394</v>
      </c>
      <c r="L628" s="2">
        <v>0.434415</v>
      </c>
      <c r="M628" s="2">
        <v>0.77346099999999995</v>
      </c>
      <c r="N628" s="2">
        <v>7.518891</v>
      </c>
    </row>
    <row r="629" spans="1:14" x14ac:dyDescent="0.35">
      <c r="A629" s="2" t="s">
        <v>636</v>
      </c>
      <c r="B629" s="3">
        <f t="shared" si="9"/>
        <v>45444</v>
      </c>
      <c r="C629" s="2">
        <v>0.72140300000000002</v>
      </c>
      <c r="D629" s="2">
        <v>2.5126819999999999</v>
      </c>
      <c r="E629" s="2">
        <v>2.9420730000000002</v>
      </c>
      <c r="F629" s="2">
        <v>6.1713250000000004</v>
      </c>
      <c r="G629" s="2">
        <v>0.71213099999999996</v>
      </c>
      <c r="H629" s="2">
        <v>7.6416999999999999E-2</v>
      </c>
      <c r="I629" s="2">
        <v>9.306E-3</v>
      </c>
      <c r="J629" s="2">
        <v>0.11913899999999999</v>
      </c>
      <c r="K629" s="2">
        <v>0.131913</v>
      </c>
      <c r="L629" s="2">
        <v>0.42337999999999998</v>
      </c>
      <c r="M629" s="2">
        <v>0.76015500000000003</v>
      </c>
      <c r="N629" s="2">
        <v>7.6484610000000002</v>
      </c>
    </row>
    <row r="630" spans="1:14" x14ac:dyDescent="0.35">
      <c r="A630" s="2" t="s">
        <v>637</v>
      </c>
      <c r="B630" s="3">
        <f t="shared" si="9"/>
        <v>45474</v>
      </c>
      <c r="C630" s="2">
        <v>0.83790600000000004</v>
      </c>
      <c r="D630" s="2">
        <v>2.839467</v>
      </c>
      <c r="E630" s="2">
        <v>3.0618669999999999</v>
      </c>
      <c r="F630" s="2">
        <v>6.7376709999999997</v>
      </c>
      <c r="G630" s="2">
        <v>0.72945099999999996</v>
      </c>
      <c r="H630" s="2">
        <v>7.2961999999999999E-2</v>
      </c>
      <c r="I630" s="2">
        <v>9.5329999999999998E-3</v>
      </c>
      <c r="J630" s="2">
        <v>0.120168</v>
      </c>
      <c r="K630" s="2">
        <v>9.6574999999999994E-2</v>
      </c>
      <c r="L630" s="2">
        <v>0.44664199999999998</v>
      </c>
      <c r="M630" s="2">
        <v>0.74587899999999996</v>
      </c>
      <c r="N630" s="2">
        <v>8.2214860000000005</v>
      </c>
    </row>
    <row r="631" spans="1:14" x14ac:dyDescent="0.35">
      <c r="A631" s="2" t="s">
        <v>638</v>
      </c>
      <c r="B631" s="3">
        <f t="shared" si="9"/>
        <v>45505</v>
      </c>
      <c r="C631" s="2">
        <v>0.81781000000000004</v>
      </c>
      <c r="D631" s="2">
        <v>2.8163589999999998</v>
      </c>
      <c r="E631" s="2">
        <v>3.1106660000000002</v>
      </c>
      <c r="F631" s="2">
        <v>6.7407709999999996</v>
      </c>
      <c r="G631" s="2">
        <v>0.72850700000000002</v>
      </c>
      <c r="H631" s="2">
        <v>6.9914000000000004E-2</v>
      </c>
      <c r="I631" s="2">
        <v>9.5659999999999999E-3</v>
      </c>
      <c r="J631" s="2">
        <v>0.118115</v>
      </c>
      <c r="K631" s="2">
        <v>9.9935999999999997E-2</v>
      </c>
      <c r="L631" s="2">
        <v>0.43808399999999997</v>
      </c>
      <c r="M631" s="2">
        <v>0.73561500000000002</v>
      </c>
      <c r="N631" s="2">
        <v>8.2122499999999992</v>
      </c>
    </row>
    <row r="632" spans="1:14" x14ac:dyDescent="0.35">
      <c r="A632" s="2" t="s">
        <v>639</v>
      </c>
      <c r="B632" s="3">
        <f t="shared" si="9"/>
        <v>45536</v>
      </c>
      <c r="C632" s="2">
        <v>0.66399300000000006</v>
      </c>
      <c r="D632" s="2">
        <v>2.4977209999999999</v>
      </c>
      <c r="E632" s="2">
        <v>2.8958970000000002</v>
      </c>
      <c r="F632" s="2">
        <v>6.0543370000000003</v>
      </c>
      <c r="G632" s="2">
        <v>0.65436300000000003</v>
      </c>
      <c r="H632" s="2">
        <v>5.4288999999999997E-2</v>
      </c>
      <c r="I632" s="2">
        <v>9.3039999999999998E-3</v>
      </c>
      <c r="J632" s="2">
        <v>0.101424</v>
      </c>
      <c r="K632" s="2">
        <v>9.9557000000000007E-2</v>
      </c>
      <c r="L632" s="2">
        <v>0.41918699999999998</v>
      </c>
      <c r="M632" s="2">
        <v>0.68376099999999995</v>
      </c>
      <c r="N632" s="2">
        <v>7.3996339999999998</v>
      </c>
    </row>
    <row r="633" spans="1:14" x14ac:dyDescent="0.35">
      <c r="A633" s="2" t="s">
        <v>640</v>
      </c>
      <c r="B633" s="3">
        <f t="shared" si="9"/>
        <v>45566</v>
      </c>
      <c r="C633" s="2">
        <v>0.58891499999999997</v>
      </c>
      <c r="D633" s="2">
        <v>2.5125199999999999</v>
      </c>
      <c r="E633" s="2">
        <v>3.126592</v>
      </c>
      <c r="F633" s="2">
        <v>6.2241400000000002</v>
      </c>
      <c r="G633" s="2">
        <v>0.61377000000000004</v>
      </c>
      <c r="H633" s="2">
        <v>5.2381999999999998E-2</v>
      </c>
      <c r="I633" s="2">
        <v>9.6810000000000004E-3</v>
      </c>
      <c r="J633" s="2">
        <v>9.5764000000000002E-2</v>
      </c>
      <c r="K633" s="2">
        <v>0.13508600000000001</v>
      </c>
      <c r="L633" s="2">
        <v>0.42895800000000001</v>
      </c>
      <c r="M633" s="2">
        <v>0.72187100000000004</v>
      </c>
      <c r="N633" s="2">
        <v>7.5662320000000003</v>
      </c>
    </row>
    <row r="634" spans="1:14" x14ac:dyDescent="0.35">
      <c r="A634" s="2" t="s">
        <v>641</v>
      </c>
      <c r="B634" s="3">
        <f t="shared" si="9"/>
        <v>45597</v>
      </c>
      <c r="C634" s="2">
        <v>0.56990200000000002</v>
      </c>
      <c r="D634" s="2">
        <v>2.8015400000000001</v>
      </c>
      <c r="E634" s="2">
        <v>2.884592</v>
      </c>
      <c r="F634" s="2">
        <v>6.2534159999999996</v>
      </c>
      <c r="G634" s="2">
        <v>0.64646400000000004</v>
      </c>
      <c r="H634" s="2">
        <v>5.706E-2</v>
      </c>
      <c r="I634" s="2">
        <v>9.7000000000000003E-3</v>
      </c>
      <c r="J634" s="2">
        <v>6.9727999999999998E-2</v>
      </c>
      <c r="K634" s="2">
        <v>0.136934</v>
      </c>
      <c r="L634" s="2">
        <v>0.425954</v>
      </c>
      <c r="M634" s="2">
        <v>0.699376</v>
      </c>
      <c r="N634" s="2">
        <v>7.6011090000000001</v>
      </c>
    </row>
    <row r="635" spans="1:14" x14ac:dyDescent="0.35">
      <c r="A635" s="2" t="s">
        <v>642</v>
      </c>
      <c r="B635" s="3">
        <f t="shared" si="9"/>
        <v>45627</v>
      </c>
      <c r="C635" s="2">
        <v>0.74671799999999999</v>
      </c>
      <c r="D635" s="2">
        <v>3.4776069999999999</v>
      </c>
      <c r="E635" s="2">
        <v>2.99905</v>
      </c>
      <c r="F635" s="2">
        <v>7.2196689999999997</v>
      </c>
      <c r="G635" s="2">
        <v>0.74354299999999995</v>
      </c>
      <c r="H635" s="2">
        <v>6.6646999999999998E-2</v>
      </c>
      <c r="I635" s="2">
        <v>1.0132E-2</v>
      </c>
      <c r="J635" s="2">
        <v>6.3760999999999998E-2</v>
      </c>
      <c r="K635" s="2">
        <v>0.13486699999999999</v>
      </c>
      <c r="L635" s="2">
        <v>0.43618600000000002</v>
      </c>
      <c r="M635" s="2">
        <v>0.71159399999999995</v>
      </c>
      <c r="N635" s="2">
        <v>8.6819249999999997</v>
      </c>
    </row>
    <row r="636" spans="1:14" x14ac:dyDescent="0.35">
      <c r="A636" s="2" t="s">
        <v>643</v>
      </c>
      <c r="B636" s="3">
        <f t="shared" si="9"/>
        <v>45658</v>
      </c>
      <c r="C636" s="2">
        <v>0.94461099999999998</v>
      </c>
      <c r="D636" s="2">
        <v>4.0515359999999996</v>
      </c>
      <c r="E636" s="2">
        <v>3.0565600000000002</v>
      </c>
      <c r="F636" s="2">
        <v>8.0515799999999995</v>
      </c>
      <c r="G636" s="2">
        <v>0.74917</v>
      </c>
      <c r="H636" s="2">
        <v>7.3122999999999994E-2</v>
      </c>
      <c r="I636" s="2">
        <v>1.0133E-2</v>
      </c>
      <c r="J636" s="2">
        <v>7.4632000000000004E-2</v>
      </c>
      <c r="K636" s="2">
        <v>0.14876300000000001</v>
      </c>
      <c r="L636" s="2">
        <v>0.40567700000000001</v>
      </c>
      <c r="M636" s="2">
        <v>0.71232799999999996</v>
      </c>
      <c r="N636" s="2">
        <v>9.5227699999999995</v>
      </c>
    </row>
    <row r="637" spans="1:14" x14ac:dyDescent="0.35">
      <c r="A637" s="2" t="s">
        <v>644</v>
      </c>
      <c r="B637" s="3">
        <f t="shared" si="9"/>
        <v>45689</v>
      </c>
      <c r="C637" s="2">
        <v>0.73619900000000005</v>
      </c>
      <c r="D637" s="2">
        <v>3.3393410000000001</v>
      </c>
      <c r="E637" s="2">
        <v>2.681689</v>
      </c>
      <c r="F637" s="2">
        <v>6.7559089999999999</v>
      </c>
      <c r="G637" s="2">
        <v>0.645675</v>
      </c>
      <c r="H637" s="2">
        <v>6.6682000000000005E-2</v>
      </c>
      <c r="I637" s="2">
        <v>9.1420000000000008E-3</v>
      </c>
      <c r="J637" s="2">
        <v>7.9867999999999995E-2</v>
      </c>
      <c r="K637" s="2">
        <v>0.13424900000000001</v>
      </c>
      <c r="L637" s="2">
        <v>0.37617800000000001</v>
      </c>
      <c r="M637" s="2">
        <v>0.66611900000000002</v>
      </c>
      <c r="N637" s="2">
        <v>8.0741420000000002</v>
      </c>
    </row>
    <row r="638" spans="1:14" x14ac:dyDescent="0.35">
      <c r="A638" s="2" t="s">
        <v>645</v>
      </c>
      <c r="B638" s="3">
        <f t="shared" si="9"/>
        <v>45717</v>
      </c>
      <c r="C638" s="2">
        <v>0.59985500000000003</v>
      </c>
      <c r="D638" s="2">
        <v>2.8410030000000002</v>
      </c>
      <c r="E638" s="2">
        <v>2.950043</v>
      </c>
      <c r="F638" s="2">
        <v>6.3897149999999998</v>
      </c>
      <c r="G638" s="2">
        <v>0.65223500000000001</v>
      </c>
      <c r="H638" s="2">
        <v>7.6601000000000002E-2</v>
      </c>
      <c r="I638" s="2">
        <v>1.0128E-2</v>
      </c>
      <c r="J638" s="2">
        <v>0.111637</v>
      </c>
      <c r="K638" s="2">
        <v>0.17261799999999999</v>
      </c>
      <c r="L638" s="2">
        <v>0.40937400000000002</v>
      </c>
      <c r="M638" s="2">
        <v>0.780358</v>
      </c>
      <c r="N638" s="2">
        <v>7.825075</v>
      </c>
    </row>
    <row r="639" spans="1:14" x14ac:dyDescent="0.35">
      <c r="A639" s="2" t="s">
        <v>646</v>
      </c>
      <c r="B639" s="3">
        <f t="shared" si="9"/>
        <v>45748</v>
      </c>
      <c r="C639" s="2">
        <v>0.55126500000000001</v>
      </c>
      <c r="D639" s="2">
        <v>2.4548779999999999</v>
      </c>
      <c r="E639" s="2">
        <v>2.9035419999999998</v>
      </c>
      <c r="F639" s="2">
        <v>5.9074850000000003</v>
      </c>
      <c r="G639" s="2">
        <v>0.604572</v>
      </c>
      <c r="H639" s="2">
        <v>7.7926999999999996E-2</v>
      </c>
      <c r="I639" s="2">
        <v>9.6760000000000006E-3</v>
      </c>
      <c r="J639" s="2">
        <v>0.12698999999999999</v>
      </c>
      <c r="K639" s="2">
        <v>0.156528</v>
      </c>
      <c r="L639" s="2">
        <v>0.39258799999999999</v>
      </c>
      <c r="M639" s="2">
        <v>0.76371</v>
      </c>
      <c r="N639" s="2">
        <v>7.2814610000000002</v>
      </c>
    </row>
    <row r="640" spans="1:14" x14ac:dyDescent="0.35">
      <c r="A640" s="2" t="s">
        <v>647</v>
      </c>
      <c r="B640" s="3">
        <f t="shared" si="9"/>
        <v>45778</v>
      </c>
      <c r="C640" s="2">
        <v>0.59227799999999997</v>
      </c>
      <c r="D640" s="2">
        <v>2.3842020000000002</v>
      </c>
      <c r="E640" s="2">
        <v>3.024089</v>
      </c>
      <c r="F640" s="2">
        <v>5.9978109999999996</v>
      </c>
      <c r="G640" s="2">
        <v>0.64897800000000005</v>
      </c>
      <c r="H640" s="2">
        <v>8.3101999999999995E-2</v>
      </c>
      <c r="I640" s="2">
        <v>9.6690000000000005E-3</v>
      </c>
      <c r="J640" s="2">
        <v>0.13949400000000001</v>
      </c>
      <c r="K640" s="2">
        <v>0.12581100000000001</v>
      </c>
      <c r="L640" s="2">
        <v>0.40047199999999999</v>
      </c>
      <c r="M640" s="2">
        <v>0.75854900000000003</v>
      </c>
      <c r="N640" s="2">
        <v>7.4133019999999998</v>
      </c>
    </row>
    <row r="641" spans="1:14" x14ac:dyDescent="0.35">
      <c r="A641" s="2" t="s">
        <v>648</v>
      </c>
      <c r="B641" s="3">
        <f t="shared" si="9"/>
        <v>45809</v>
      </c>
      <c r="C641" s="2">
        <v>0.75883699999999998</v>
      </c>
      <c r="D641" s="2">
        <v>2.4967980000000001</v>
      </c>
      <c r="E641" s="2">
        <v>3.0332219999999999</v>
      </c>
      <c r="F641" s="2">
        <v>6.2861779999999996</v>
      </c>
      <c r="G641" s="2">
        <v>0.69155900000000003</v>
      </c>
      <c r="H641" s="2">
        <v>7.5606999999999994E-2</v>
      </c>
      <c r="I641" s="2">
        <v>9.5779999999999997E-3</v>
      </c>
      <c r="J641" s="2">
        <v>0.14771599999999999</v>
      </c>
      <c r="K641" s="2">
        <v>0.122069</v>
      </c>
      <c r="L641" s="2">
        <v>0.39694099999999999</v>
      </c>
      <c r="M641" s="2">
        <v>0.75191200000000002</v>
      </c>
      <c r="N641" s="2">
        <v>7.7358149999999997</v>
      </c>
    </row>
    <row r="642" spans="1:14" x14ac:dyDescent="0.35">
      <c r="A642" s="2" t="s">
        <v>649</v>
      </c>
      <c r="B642" s="3">
        <f t="shared" si="9"/>
        <v>45839</v>
      </c>
      <c r="C642" s="2">
        <v>0.92495000000000005</v>
      </c>
      <c r="D642" s="2">
        <v>2.8137409999999998</v>
      </c>
      <c r="E642" s="2">
        <v>3.1225079999999998</v>
      </c>
      <c r="F642" s="2">
        <v>6.859089</v>
      </c>
      <c r="G642" s="2">
        <v>0.73916899999999996</v>
      </c>
      <c r="H642" s="2">
        <v>6.8179000000000003E-2</v>
      </c>
      <c r="I642" s="2">
        <v>9.7780000000000002E-3</v>
      </c>
      <c r="J642" s="2">
        <v>0.15410499999999999</v>
      </c>
      <c r="K642" s="2">
        <v>0.10853599999999999</v>
      </c>
      <c r="L642" s="2">
        <v>0.41571000000000002</v>
      </c>
      <c r="M642" s="2">
        <v>0.75630699999999995</v>
      </c>
      <c r="N642" s="2">
        <v>8.357564</v>
      </c>
    </row>
    <row r="643" spans="1:14" x14ac:dyDescent="0.35">
      <c r="A643" s="2" t="s">
        <v>650</v>
      </c>
      <c r="B643" s="3">
        <f t="shared" si="9"/>
        <v>45870</v>
      </c>
      <c r="C643" s="2">
        <v>0.82046799999999998</v>
      </c>
      <c r="D643" s="2">
        <v>2.7298749999999998</v>
      </c>
      <c r="E643" s="2">
        <v>3.1327919999999998</v>
      </c>
      <c r="F643" s="2">
        <v>6.6815150000000001</v>
      </c>
      <c r="G643" s="2">
        <v>0.73837399999999997</v>
      </c>
      <c r="H643" s="2">
        <v>6.8573999999999996E-2</v>
      </c>
      <c r="I643" s="2">
        <v>9.9950000000000004E-3</v>
      </c>
      <c r="J643" s="2">
        <v>0.14649400000000001</v>
      </c>
      <c r="K643" s="2">
        <v>9.3171000000000004E-2</v>
      </c>
      <c r="L643" s="2">
        <v>0.41269699999999998</v>
      </c>
      <c r="M643" s="2">
        <v>0.730931</v>
      </c>
      <c r="N643" s="2">
        <v>8.1545749999999995</v>
      </c>
    </row>
    <row r="644" spans="1:14" x14ac:dyDescent="0.35">
      <c r="A644" s="2" t="s">
        <v>651</v>
      </c>
      <c r="B644" s="3">
        <f t="shared" si="9"/>
        <v>45901</v>
      </c>
      <c r="C644" s="2">
        <v>0.69828500000000004</v>
      </c>
      <c r="D644" s="2">
        <v>2.5064540000000002</v>
      </c>
      <c r="E644" s="2">
        <v>2.9764050000000002</v>
      </c>
      <c r="F644" s="2">
        <v>6.1804430000000004</v>
      </c>
      <c r="G644" s="2">
        <v>0.68357599999999996</v>
      </c>
      <c r="H644" s="2">
        <v>5.2151999999999997E-2</v>
      </c>
      <c r="I644" s="2">
        <v>9.5989999999999999E-3</v>
      </c>
      <c r="J644" s="2">
        <v>0.12945200000000001</v>
      </c>
      <c r="K644" s="2">
        <v>8.7595000000000006E-2</v>
      </c>
      <c r="L644" s="2">
        <v>0.399418</v>
      </c>
      <c r="M644" s="2">
        <v>0.67821600000000004</v>
      </c>
      <c r="N644" s="2">
        <v>7.5466620000000004</v>
      </c>
    </row>
    <row r="645" spans="1:14" x14ac:dyDescent="0.35">
      <c r="A645" s="2" t="s">
        <v>652</v>
      </c>
      <c r="B645" s="3">
        <f t="shared" si="9"/>
        <v>45931</v>
      </c>
      <c r="C645" s="2">
        <v>0.65426499999999999</v>
      </c>
      <c r="D645" s="2">
        <v>2.5243150000000001</v>
      </c>
      <c r="E645" s="2">
        <v>3.0821170000000002</v>
      </c>
      <c r="F645" s="2">
        <v>6.2571890000000003</v>
      </c>
      <c r="G645" s="2">
        <v>0.61845799999999995</v>
      </c>
      <c r="H645" s="2">
        <v>5.645E-2</v>
      </c>
      <c r="I645" s="2">
        <v>9.7160000000000007E-3</v>
      </c>
      <c r="J645" s="2">
        <v>0.114785</v>
      </c>
      <c r="K645" s="2">
        <v>0.13488900000000001</v>
      </c>
      <c r="L645" s="2">
        <v>0.41542200000000001</v>
      </c>
      <c r="M645" s="2">
        <v>0.73126199999999997</v>
      </c>
      <c r="N645" s="2">
        <v>7.6049170000000004</v>
      </c>
    </row>
    <row r="646" spans="1:14" x14ac:dyDescent="0.35">
      <c r="A646" s="2" t="s">
        <v>653</v>
      </c>
      <c r="B646" s="3">
        <f t="shared" si="9"/>
        <v>45962</v>
      </c>
      <c r="C646" s="2">
        <v>0.65495599999999998</v>
      </c>
      <c r="D646" s="2">
        <v>2.8701590000000001</v>
      </c>
      <c r="E646" s="2">
        <v>2.8823669999999999</v>
      </c>
      <c r="F646" s="2">
        <v>6.4035570000000002</v>
      </c>
      <c r="G646" s="2">
        <v>0.66636099999999998</v>
      </c>
      <c r="H646" s="2">
        <v>6.2829999999999997E-2</v>
      </c>
      <c r="I646" s="2">
        <v>9.5289999999999993E-3</v>
      </c>
      <c r="J646" s="2">
        <v>8.7815000000000004E-2</v>
      </c>
      <c r="K646" s="2">
        <v>0.13974500000000001</v>
      </c>
      <c r="L646" s="2">
        <v>0.39924100000000001</v>
      </c>
      <c r="M646" s="2">
        <v>0.69916</v>
      </c>
      <c r="N646" s="2">
        <v>7.7655349999999999</v>
      </c>
    </row>
    <row r="647" spans="1:14" x14ac:dyDescent="0.35">
      <c r="A647" s="2" t="s">
        <v>654</v>
      </c>
      <c r="B647" s="3">
        <f t="shared" si="9"/>
        <v>45992</v>
      </c>
      <c r="C647" s="2">
        <v>0.77357100000000001</v>
      </c>
      <c r="D647" s="2">
        <v>3.6113420000000001</v>
      </c>
      <c r="E647" s="2">
        <v>3.0533899999999998</v>
      </c>
      <c r="F647" s="2">
        <v>7.4343640000000004</v>
      </c>
      <c r="G647" s="2">
        <v>0.75733799999999996</v>
      </c>
      <c r="H647" s="2">
        <v>8.1614999999999993E-2</v>
      </c>
      <c r="I647" s="2">
        <v>1.0018000000000001E-2</v>
      </c>
      <c r="J647" s="2">
        <v>7.5142E-2</v>
      </c>
      <c r="K647" s="2">
        <v>0.160527</v>
      </c>
      <c r="L647" s="2">
        <v>0.42258000000000001</v>
      </c>
      <c r="M647" s="2">
        <v>0.74988100000000002</v>
      </c>
      <c r="N647" s="2">
        <v>8.9393829999999994</v>
      </c>
    </row>
    <row r="649" spans="1:14" x14ac:dyDescent="0.35">
      <c r="B649" s="4" t="s">
        <v>662</v>
      </c>
      <c r="C649" s="7">
        <f>(C647-C431)/C431</f>
        <v>-0.61007875333431461</v>
      </c>
    </row>
    <row r="650" spans="1:14" x14ac:dyDescent="0.35">
      <c r="B650" s="4" t="s">
        <v>663</v>
      </c>
      <c r="C650" s="7">
        <f>(M647-M432)/M432</f>
        <v>0.76896692450502357</v>
      </c>
    </row>
    <row r="651" spans="1:14" x14ac:dyDescent="0.35">
      <c r="B651" s="4" t="s">
        <v>664</v>
      </c>
      <c r="C651" s="7">
        <f>_xlfn.RRI(10,M516,M647)</f>
        <v>2.8591474421214791E-2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88"/>
  <sheetViews>
    <sheetView workbookViewId="0">
      <selection activeCell="D4" sqref="D4"/>
    </sheetView>
  </sheetViews>
  <sheetFormatPr defaultRowHeight="14.5" x14ac:dyDescent="0.35"/>
  <cols>
    <col min="1" max="1" width="20" customWidth="1"/>
    <col min="2" max="2" width="16" customWidth="1"/>
    <col min="3" max="3" width="62" customWidth="1"/>
    <col min="4" max="4" width="42" customWidth="1"/>
    <col min="5" max="5" width="30" customWidth="1"/>
    <col min="6" max="6" width="34" customWidth="1"/>
    <col min="7" max="7" width="31" customWidth="1"/>
    <col min="8" max="8" width="29" customWidth="1"/>
    <col min="9" max="9" width="24" customWidth="1"/>
    <col min="10" max="10" width="23" customWidth="1"/>
    <col min="11" max="11" width="26" customWidth="1"/>
    <col min="12" max="12" width="34" customWidth="1"/>
    <col min="13" max="13" width="32" customWidth="1"/>
  </cols>
  <sheetData>
    <row r="1" spans="1:13" ht="18.5" x14ac:dyDescent="0.45">
      <c r="A1" s="13" t="s">
        <v>0</v>
      </c>
      <c r="B1" s="12"/>
      <c r="C1" s="12"/>
    </row>
    <row r="2" spans="1:13" ht="18.5" x14ac:dyDescent="0.45">
      <c r="A2" s="14" t="s">
        <v>1</v>
      </c>
      <c r="B2" s="12"/>
      <c r="C2" s="12"/>
    </row>
    <row r="4" spans="1:13" x14ac:dyDescent="0.35">
      <c r="A4" s="12" t="s">
        <v>2</v>
      </c>
      <c r="B4" s="12"/>
      <c r="C4" s="12"/>
    </row>
    <row r="5" spans="1:13" x14ac:dyDescent="0.35">
      <c r="A5" s="12" t="s">
        <v>3</v>
      </c>
      <c r="B5" s="12"/>
      <c r="C5" s="12"/>
    </row>
    <row r="7" spans="1:13" ht="15.5" x14ac:dyDescent="0.35">
      <c r="A7" s="15" t="s">
        <v>4</v>
      </c>
      <c r="B7" s="12"/>
      <c r="C7" s="12"/>
    </row>
    <row r="9" spans="1:13" x14ac:dyDescent="0.35">
      <c r="A9" s="1" t="s">
        <v>655</v>
      </c>
      <c r="B9" s="1" t="s">
        <v>6</v>
      </c>
      <c r="C9" s="1" t="s">
        <v>7</v>
      </c>
      <c r="D9" s="1" t="s">
        <v>8</v>
      </c>
      <c r="E9" s="1" t="s">
        <v>9</v>
      </c>
      <c r="F9" s="1" t="s">
        <v>10</v>
      </c>
      <c r="G9" s="1" t="s">
        <v>11</v>
      </c>
      <c r="H9" s="1" t="s">
        <v>12</v>
      </c>
      <c r="I9" s="1" t="s">
        <v>13</v>
      </c>
      <c r="J9" s="1" t="s">
        <v>14</v>
      </c>
      <c r="K9" s="1" t="s">
        <v>15</v>
      </c>
      <c r="L9" s="1" t="s">
        <v>16</v>
      </c>
      <c r="M9" s="1" t="s">
        <v>17</v>
      </c>
    </row>
    <row r="10" spans="1:13" x14ac:dyDescent="0.35">
      <c r="A10" s="1"/>
      <c r="B10" s="1" t="s">
        <v>18</v>
      </c>
      <c r="C10" s="1" t="s">
        <v>18</v>
      </c>
      <c r="D10" s="1" t="s">
        <v>18</v>
      </c>
      <c r="E10" s="1" t="s">
        <v>18</v>
      </c>
      <c r="F10" s="1" t="s">
        <v>18</v>
      </c>
      <c r="G10" s="1" t="s">
        <v>18</v>
      </c>
      <c r="H10" s="1" t="s">
        <v>18</v>
      </c>
      <c r="I10" s="1" t="s">
        <v>18</v>
      </c>
      <c r="J10" s="1" t="s">
        <v>18</v>
      </c>
      <c r="K10" s="1" t="s">
        <v>18</v>
      </c>
      <c r="L10" s="1" t="s">
        <v>18</v>
      </c>
      <c r="M10" s="1" t="s">
        <v>18</v>
      </c>
    </row>
    <row r="12" spans="1:13" x14ac:dyDescent="0.35">
      <c r="A12" s="2">
        <v>1949</v>
      </c>
      <c r="B12" s="2">
        <v>11.980905</v>
      </c>
      <c r="C12" s="2">
        <v>5.1451419999999999</v>
      </c>
      <c r="D12" s="2">
        <v>11.868994000000001</v>
      </c>
      <c r="E12" s="2">
        <v>28.988371000000001</v>
      </c>
      <c r="F12" s="2">
        <v>0</v>
      </c>
      <c r="G12" s="2">
        <v>0.32336500000000001</v>
      </c>
      <c r="H12" s="2">
        <v>0</v>
      </c>
      <c r="I12" s="2">
        <v>0</v>
      </c>
      <c r="J12" s="2">
        <v>0</v>
      </c>
      <c r="K12" s="2">
        <v>1.5492619999999999</v>
      </c>
      <c r="L12" s="2">
        <v>1.872627</v>
      </c>
      <c r="M12" s="2">
        <v>30.866419</v>
      </c>
    </row>
    <row r="13" spans="1:13" x14ac:dyDescent="0.35">
      <c r="A13" s="2">
        <v>1950</v>
      </c>
      <c r="B13" s="2">
        <v>12.347109</v>
      </c>
      <c r="C13" s="2">
        <v>5.9683710000000003</v>
      </c>
      <c r="D13" s="2">
        <v>13.298283</v>
      </c>
      <c r="E13" s="2">
        <v>31.614754999999999</v>
      </c>
      <c r="F13" s="2">
        <v>0</v>
      </c>
      <c r="G13" s="2">
        <v>0.34421800000000002</v>
      </c>
      <c r="H13" s="2">
        <v>0</v>
      </c>
      <c r="I13" s="2">
        <v>0</v>
      </c>
      <c r="J13" s="2">
        <v>0</v>
      </c>
      <c r="K13" s="2">
        <v>1.5623069999999999</v>
      </c>
      <c r="L13" s="2">
        <v>1.906525</v>
      </c>
      <c r="M13" s="2">
        <v>33.527374000000002</v>
      </c>
    </row>
    <row r="14" spans="1:13" x14ac:dyDescent="0.35">
      <c r="A14" s="2">
        <v>1951</v>
      </c>
      <c r="B14" s="2">
        <v>12.552996</v>
      </c>
      <c r="C14" s="2">
        <v>7.0485179999999996</v>
      </c>
      <c r="D14" s="2">
        <v>14.407674</v>
      </c>
      <c r="E14" s="2">
        <v>33.987735999999998</v>
      </c>
      <c r="F14" s="2">
        <v>0</v>
      </c>
      <c r="G14" s="2">
        <v>0.35613099999999998</v>
      </c>
      <c r="H14" s="2">
        <v>0</v>
      </c>
      <c r="I14" s="2">
        <v>0</v>
      </c>
      <c r="J14" s="2">
        <v>0</v>
      </c>
      <c r="K14" s="2">
        <v>1.5346690000000001</v>
      </c>
      <c r="L14" s="2">
        <v>1.8908</v>
      </c>
      <c r="M14" s="2">
        <v>35.885997000000003</v>
      </c>
    </row>
    <row r="15" spans="1:13" x14ac:dyDescent="0.35">
      <c r="A15" s="2">
        <v>1952</v>
      </c>
      <c r="B15" s="2">
        <v>11.306479</v>
      </c>
      <c r="C15" s="2">
        <v>7.5496210000000001</v>
      </c>
      <c r="D15" s="2">
        <v>14.933895</v>
      </c>
      <c r="E15" s="2">
        <v>33.778115999999997</v>
      </c>
      <c r="F15" s="2">
        <v>0</v>
      </c>
      <c r="G15" s="2">
        <v>0.37432500000000002</v>
      </c>
      <c r="H15" s="2">
        <v>0</v>
      </c>
      <c r="I15" s="2">
        <v>0</v>
      </c>
      <c r="J15" s="2">
        <v>0</v>
      </c>
      <c r="K15" s="2">
        <v>1.474369</v>
      </c>
      <c r="L15" s="2">
        <v>1.8486940000000001</v>
      </c>
      <c r="M15" s="2">
        <v>35.634549999999997</v>
      </c>
    </row>
    <row r="16" spans="1:13" x14ac:dyDescent="0.35">
      <c r="A16" s="2">
        <v>1953</v>
      </c>
      <c r="B16" s="2">
        <v>11.372684</v>
      </c>
      <c r="C16" s="2">
        <v>7.9066450000000001</v>
      </c>
      <c r="D16" s="2">
        <v>15.531959000000001</v>
      </c>
      <c r="E16" s="2">
        <v>34.802286000000002</v>
      </c>
      <c r="F16" s="2">
        <v>0</v>
      </c>
      <c r="G16" s="2">
        <v>0.37401499999999999</v>
      </c>
      <c r="H16" s="2">
        <v>0</v>
      </c>
      <c r="I16" s="2">
        <v>0</v>
      </c>
      <c r="J16" s="2">
        <v>0</v>
      </c>
      <c r="K16" s="2">
        <v>1.418601</v>
      </c>
      <c r="L16" s="2">
        <v>1.792616</v>
      </c>
      <c r="M16" s="2">
        <v>36.601753000000002</v>
      </c>
    </row>
    <row r="17" spans="1:13" x14ac:dyDescent="0.35">
      <c r="A17" s="2">
        <v>1954</v>
      </c>
      <c r="B17" s="2">
        <v>9.7146670000000004</v>
      </c>
      <c r="C17" s="2">
        <v>8.3302019999999999</v>
      </c>
      <c r="D17" s="2">
        <v>15.813333999999999</v>
      </c>
      <c r="E17" s="2">
        <v>33.851458000000001</v>
      </c>
      <c r="F17" s="2">
        <v>0</v>
      </c>
      <c r="G17" s="2">
        <v>0.380915</v>
      </c>
      <c r="H17" s="2">
        <v>0</v>
      </c>
      <c r="I17" s="2">
        <v>0</v>
      </c>
      <c r="J17" s="2">
        <v>0</v>
      </c>
      <c r="K17" s="2">
        <v>1.3943270000000001</v>
      </c>
      <c r="L17" s="2">
        <v>1.775242</v>
      </c>
      <c r="M17" s="2">
        <v>35.634683000000003</v>
      </c>
    </row>
    <row r="18" spans="1:13" x14ac:dyDescent="0.35">
      <c r="A18" s="2">
        <v>1955</v>
      </c>
      <c r="B18" s="2">
        <v>11.167259</v>
      </c>
      <c r="C18" s="2">
        <v>8.997935</v>
      </c>
      <c r="D18" s="2">
        <v>17.225269000000001</v>
      </c>
      <c r="E18" s="2">
        <v>37.380419000000003</v>
      </c>
      <c r="F18" s="2">
        <v>0</v>
      </c>
      <c r="G18" s="2">
        <v>0.39659699999999998</v>
      </c>
      <c r="H18" s="2">
        <v>0</v>
      </c>
      <c r="I18" s="2">
        <v>0</v>
      </c>
      <c r="J18" s="2">
        <v>0</v>
      </c>
      <c r="K18" s="2">
        <v>1.4241429999999999</v>
      </c>
      <c r="L18" s="2">
        <v>1.82074</v>
      </c>
      <c r="M18" s="2">
        <v>39.215038</v>
      </c>
    </row>
    <row r="19" spans="1:13" x14ac:dyDescent="0.35">
      <c r="A19" s="2">
        <v>1956</v>
      </c>
      <c r="B19" s="2">
        <v>11.349722999999999</v>
      </c>
      <c r="C19" s="2">
        <v>9.6139749999999999</v>
      </c>
      <c r="D19" s="2">
        <v>17.904978</v>
      </c>
      <c r="E19" s="2">
        <v>38.855656000000003</v>
      </c>
      <c r="F19" s="2">
        <v>0</v>
      </c>
      <c r="G19" s="2">
        <v>0.42730699999999999</v>
      </c>
      <c r="H19" s="2">
        <v>0</v>
      </c>
      <c r="I19" s="2">
        <v>0</v>
      </c>
      <c r="J19" s="2">
        <v>0</v>
      </c>
      <c r="K19" s="2">
        <v>1.4158710000000001</v>
      </c>
      <c r="L19" s="2">
        <v>1.843178</v>
      </c>
      <c r="M19" s="2">
        <v>40.714353000000003</v>
      </c>
    </row>
    <row r="20" spans="1:13" x14ac:dyDescent="0.35">
      <c r="A20" s="2">
        <v>1957</v>
      </c>
      <c r="B20" s="2">
        <v>10.820631000000001</v>
      </c>
      <c r="C20" s="2">
        <v>10.190753000000001</v>
      </c>
      <c r="D20" s="2">
        <v>17.898389999999999</v>
      </c>
      <c r="E20" s="2">
        <v>38.892315000000004</v>
      </c>
      <c r="F20" s="2">
        <v>1.12E-4</v>
      </c>
      <c r="G20" s="2">
        <v>0.455017</v>
      </c>
      <c r="H20" s="2">
        <v>0</v>
      </c>
      <c r="I20" s="2">
        <v>0</v>
      </c>
      <c r="J20" s="2">
        <v>0</v>
      </c>
      <c r="K20" s="2">
        <v>1.3335809999999999</v>
      </c>
      <c r="L20" s="2">
        <v>1.7885979999999999</v>
      </c>
      <c r="M20" s="2">
        <v>40.693313000000003</v>
      </c>
    </row>
    <row r="21" spans="1:13" x14ac:dyDescent="0.35">
      <c r="A21" s="2">
        <v>1958</v>
      </c>
      <c r="B21" s="2">
        <v>9.5332869999999996</v>
      </c>
      <c r="C21" s="2">
        <v>10.663199000000001</v>
      </c>
      <c r="D21" s="2">
        <v>18.49119</v>
      </c>
      <c r="E21" s="2">
        <v>38.680954999999997</v>
      </c>
      <c r="F21" s="2">
        <v>1.915E-3</v>
      </c>
      <c r="G21" s="2">
        <v>0.49001299999999998</v>
      </c>
      <c r="H21" s="2">
        <v>0</v>
      </c>
      <c r="I21" s="2">
        <v>0</v>
      </c>
      <c r="J21" s="2">
        <v>0</v>
      </c>
      <c r="K21" s="2">
        <v>1.323123</v>
      </c>
      <c r="L21" s="2">
        <v>1.8131360000000001</v>
      </c>
      <c r="M21" s="2">
        <v>40.507325999999999</v>
      </c>
    </row>
    <row r="22" spans="1:13" x14ac:dyDescent="0.35">
      <c r="A22" s="2">
        <v>1959</v>
      </c>
      <c r="B22" s="2">
        <v>9.5183529999999994</v>
      </c>
      <c r="C22" s="2">
        <v>11.717421999999999</v>
      </c>
      <c r="D22" s="2">
        <v>19.279893999999999</v>
      </c>
      <c r="E22" s="2">
        <v>40.507311999999999</v>
      </c>
      <c r="F22" s="2">
        <v>2.1870000000000001E-3</v>
      </c>
      <c r="G22" s="2">
        <v>0.48161900000000002</v>
      </c>
      <c r="H22" s="2">
        <v>0</v>
      </c>
      <c r="I22" s="2">
        <v>0</v>
      </c>
      <c r="J22" s="2">
        <v>0</v>
      </c>
      <c r="K22" s="2">
        <v>1.3528739999999999</v>
      </c>
      <c r="L22" s="2">
        <v>1.8344929999999999</v>
      </c>
      <c r="M22" s="2">
        <v>42.356119</v>
      </c>
    </row>
    <row r="23" spans="1:13" x14ac:dyDescent="0.35">
      <c r="A23" s="2">
        <v>1960</v>
      </c>
      <c r="B23" s="2">
        <v>9.8377850000000002</v>
      </c>
      <c r="C23" s="2">
        <v>12.385365999999999</v>
      </c>
      <c r="D23" s="2">
        <v>19.873507</v>
      </c>
      <c r="E23" s="2">
        <v>42.091028000000001</v>
      </c>
      <c r="F23" s="2">
        <v>6.0260000000000001E-3</v>
      </c>
      <c r="G23" s="2">
        <v>0.50988900000000004</v>
      </c>
      <c r="H23" s="2">
        <v>1.1400000000000001E-4</v>
      </c>
      <c r="I23" s="2">
        <v>0</v>
      </c>
      <c r="J23" s="2">
        <v>0</v>
      </c>
      <c r="K23" s="2">
        <v>1.3198700000000001</v>
      </c>
      <c r="L23" s="2">
        <v>1.8298730000000001</v>
      </c>
      <c r="M23" s="2">
        <v>43.942400999999997</v>
      </c>
    </row>
    <row r="24" spans="1:13" x14ac:dyDescent="0.35">
      <c r="A24" s="2">
        <v>1961</v>
      </c>
      <c r="B24" s="2">
        <v>9.6233509999999995</v>
      </c>
      <c r="C24" s="2">
        <v>12.926392</v>
      </c>
      <c r="D24" s="2">
        <v>20.169333000000002</v>
      </c>
      <c r="E24" s="2">
        <v>42.711188999999997</v>
      </c>
      <c r="F24" s="2">
        <v>1.9678000000000001E-2</v>
      </c>
      <c r="G24" s="2">
        <v>0.53069</v>
      </c>
      <c r="H24" s="2">
        <v>3.21E-4</v>
      </c>
      <c r="I24" s="2">
        <v>0</v>
      </c>
      <c r="J24" s="2">
        <v>0</v>
      </c>
      <c r="K24" s="2">
        <v>1.294762</v>
      </c>
      <c r="L24" s="2">
        <v>1.8257730000000001</v>
      </c>
      <c r="M24" s="2">
        <v>44.564329000000001</v>
      </c>
    </row>
    <row r="25" spans="1:13" x14ac:dyDescent="0.35">
      <c r="A25" s="2">
        <v>1962</v>
      </c>
      <c r="B25" s="2">
        <v>9.9064540000000001</v>
      </c>
      <c r="C25" s="2">
        <v>13.730841</v>
      </c>
      <c r="D25" s="2">
        <v>20.997591</v>
      </c>
      <c r="E25" s="2">
        <v>44.629379999999998</v>
      </c>
      <c r="F25" s="2">
        <v>2.6394000000000001E-2</v>
      </c>
      <c r="G25" s="2">
        <v>0.58691700000000002</v>
      </c>
      <c r="H25" s="2">
        <v>3.4299999999999999E-4</v>
      </c>
      <c r="I25" s="2">
        <v>0</v>
      </c>
      <c r="J25" s="2">
        <v>0</v>
      </c>
      <c r="K25" s="2">
        <v>1.3002419999999999</v>
      </c>
      <c r="L25" s="2">
        <v>1.887502</v>
      </c>
      <c r="M25" s="2">
        <v>46.545105</v>
      </c>
    </row>
    <row r="26" spans="1:13" x14ac:dyDescent="0.35">
      <c r="A26" s="2">
        <v>1963</v>
      </c>
      <c r="B26" s="2">
        <v>10.412538</v>
      </c>
      <c r="C26" s="2">
        <v>14.403306000000001</v>
      </c>
      <c r="D26" s="2">
        <v>21.645264999999998</v>
      </c>
      <c r="E26" s="2">
        <v>46.453719999999997</v>
      </c>
      <c r="F26" s="2">
        <v>3.8147E-2</v>
      </c>
      <c r="G26" s="2">
        <v>0.57659400000000005</v>
      </c>
      <c r="H26" s="2">
        <v>5.7300000000000005E-4</v>
      </c>
      <c r="I26" s="2">
        <v>0</v>
      </c>
      <c r="J26" s="2">
        <v>0</v>
      </c>
      <c r="K26" s="2">
        <v>1.3233159999999999</v>
      </c>
      <c r="L26" s="2">
        <v>1.9004829999999999</v>
      </c>
      <c r="M26" s="2">
        <v>48.392685</v>
      </c>
    </row>
    <row r="27" spans="1:13" x14ac:dyDescent="0.35">
      <c r="A27" s="2">
        <v>1964</v>
      </c>
      <c r="B27" s="2">
        <v>10.964385</v>
      </c>
      <c r="C27" s="2">
        <v>15.287850000000001</v>
      </c>
      <c r="D27" s="2">
        <v>22.241893999999998</v>
      </c>
      <c r="E27" s="2">
        <v>48.483687000000003</v>
      </c>
      <c r="F27" s="2">
        <v>3.9819E-2</v>
      </c>
      <c r="G27" s="2">
        <v>0.61518899999999999</v>
      </c>
      <c r="H27" s="2">
        <v>6.9499999999999998E-4</v>
      </c>
      <c r="I27" s="2">
        <v>0</v>
      </c>
      <c r="J27" s="2">
        <v>0</v>
      </c>
      <c r="K27" s="2">
        <v>1.336802</v>
      </c>
      <c r="L27" s="2">
        <v>1.9526859999999999</v>
      </c>
      <c r="M27" s="2">
        <v>50.482863000000002</v>
      </c>
    </row>
    <row r="28" spans="1:13" x14ac:dyDescent="0.35">
      <c r="A28" s="2">
        <v>1965</v>
      </c>
      <c r="B28" s="2">
        <v>11.580608</v>
      </c>
      <c r="C28" s="2">
        <v>15.768667000000001</v>
      </c>
      <c r="D28" s="2">
        <v>23.183900000000001</v>
      </c>
      <c r="E28" s="2">
        <v>50.514724000000001</v>
      </c>
      <c r="F28" s="2">
        <v>4.3164000000000001E-2</v>
      </c>
      <c r="G28" s="2">
        <v>0.67211100000000001</v>
      </c>
      <c r="H28" s="2">
        <v>6.4599999999999998E-4</v>
      </c>
      <c r="I28" s="2">
        <v>0</v>
      </c>
      <c r="J28" s="2">
        <v>0</v>
      </c>
      <c r="K28" s="2">
        <v>1.3347610000000001</v>
      </c>
      <c r="L28" s="2">
        <v>2.007517</v>
      </c>
      <c r="M28" s="2">
        <v>52.564923</v>
      </c>
    </row>
    <row r="29" spans="1:13" x14ac:dyDescent="0.35">
      <c r="A29" s="2">
        <v>1966</v>
      </c>
      <c r="B29" s="2">
        <v>12.143079999999999</v>
      </c>
      <c r="C29" s="2">
        <v>16.995332000000001</v>
      </c>
      <c r="D29" s="2">
        <v>24.335357999999999</v>
      </c>
      <c r="E29" s="2">
        <v>53.448822</v>
      </c>
      <c r="F29" s="2">
        <v>6.4158000000000007E-2</v>
      </c>
      <c r="G29" s="2">
        <v>0.67536300000000005</v>
      </c>
      <c r="H29" s="2">
        <v>6.4099999999999997E-4</v>
      </c>
      <c r="I29" s="2">
        <v>0</v>
      </c>
      <c r="J29" s="2">
        <v>0</v>
      </c>
      <c r="K29" s="2">
        <v>1.3689849999999999</v>
      </c>
      <c r="L29" s="2">
        <v>2.0449890000000002</v>
      </c>
      <c r="M29" s="2">
        <v>55.561695</v>
      </c>
    </row>
    <row r="30" spans="1:13" x14ac:dyDescent="0.35">
      <c r="A30" s="2">
        <v>1967</v>
      </c>
      <c r="B30" s="2">
        <v>11.91375</v>
      </c>
      <c r="C30" s="2">
        <v>17.944787999999999</v>
      </c>
      <c r="D30" s="2">
        <v>25.273959000000001</v>
      </c>
      <c r="E30" s="2">
        <v>55.117170999999999</v>
      </c>
      <c r="F30" s="2">
        <v>8.8456000000000007E-2</v>
      </c>
      <c r="G30" s="2">
        <v>0.76752500000000001</v>
      </c>
      <c r="H30" s="2">
        <v>1.0790000000000001E-3</v>
      </c>
      <c r="I30" s="2">
        <v>0</v>
      </c>
      <c r="J30" s="2">
        <v>0</v>
      </c>
      <c r="K30" s="2">
        <v>1.340249</v>
      </c>
      <c r="L30" s="2">
        <v>2.1088529999999999</v>
      </c>
      <c r="M30" s="2">
        <v>57.313459999999999</v>
      </c>
    </row>
    <row r="31" spans="1:13" x14ac:dyDescent="0.35">
      <c r="A31" s="2">
        <v>1968</v>
      </c>
      <c r="B31" s="2">
        <v>12.330677</v>
      </c>
      <c r="C31" s="2">
        <v>19.209655999999999</v>
      </c>
      <c r="D31" s="2">
        <v>26.966418999999998</v>
      </c>
      <c r="E31" s="2">
        <v>58.489441999999997</v>
      </c>
      <c r="F31" s="2">
        <v>0.14153399999999999</v>
      </c>
      <c r="G31" s="2">
        <v>0.770679</v>
      </c>
      <c r="H31" s="2">
        <v>1.487E-3</v>
      </c>
      <c r="I31" s="2">
        <v>0</v>
      </c>
      <c r="J31" s="2">
        <v>0</v>
      </c>
      <c r="K31" s="2">
        <v>1.419495</v>
      </c>
      <c r="L31" s="2">
        <v>2.1916609999999999</v>
      </c>
      <c r="M31" s="2">
        <v>60.820484999999998</v>
      </c>
    </row>
    <row r="32" spans="1:13" x14ac:dyDescent="0.35">
      <c r="A32" s="2">
        <v>1969</v>
      </c>
      <c r="B32" s="2">
        <v>12.381539999999999</v>
      </c>
      <c r="C32" s="2">
        <v>20.677983999999999</v>
      </c>
      <c r="D32" s="2">
        <v>28.320574000000001</v>
      </c>
      <c r="E32" s="2">
        <v>61.343989000000001</v>
      </c>
      <c r="F32" s="2">
        <v>0.153722</v>
      </c>
      <c r="G32" s="2">
        <v>0.86483399999999999</v>
      </c>
      <c r="H32" s="2">
        <v>2.0969999999999999E-3</v>
      </c>
      <c r="I32" s="2">
        <v>0</v>
      </c>
      <c r="J32" s="2">
        <v>0</v>
      </c>
      <c r="K32" s="2">
        <v>1.4404870000000001</v>
      </c>
      <c r="L32" s="2">
        <v>2.3074180000000002</v>
      </c>
      <c r="M32" s="2">
        <v>63.808785</v>
      </c>
    </row>
    <row r="33" spans="1:13" x14ac:dyDescent="0.35">
      <c r="A33" s="2">
        <v>1970</v>
      </c>
      <c r="B33" s="2">
        <v>12.264528</v>
      </c>
      <c r="C33" s="2">
        <v>21.794706999999999</v>
      </c>
      <c r="D33" s="2">
        <v>29.499198</v>
      </c>
      <c r="E33" s="2">
        <v>63.500771999999998</v>
      </c>
      <c r="F33" s="2">
        <v>0.239347</v>
      </c>
      <c r="G33" s="2">
        <v>0.856267</v>
      </c>
      <c r="H33" s="2">
        <v>1.792E-3</v>
      </c>
      <c r="I33" s="2">
        <v>0</v>
      </c>
      <c r="J33" s="2">
        <v>0</v>
      </c>
      <c r="K33" s="2">
        <v>1.4309620000000001</v>
      </c>
      <c r="L33" s="2">
        <v>2.289021</v>
      </c>
      <c r="M33" s="2">
        <v>66.035826999999998</v>
      </c>
    </row>
    <row r="34" spans="1:13" x14ac:dyDescent="0.35">
      <c r="A34" s="2">
        <v>1971</v>
      </c>
      <c r="B34" s="2">
        <v>11.598411</v>
      </c>
      <c r="C34" s="2">
        <v>22.469052000000001</v>
      </c>
      <c r="D34" s="2">
        <v>30.538717999999999</v>
      </c>
      <c r="E34" s="2">
        <v>64.573072999999994</v>
      </c>
      <c r="F34" s="2">
        <v>0.412939</v>
      </c>
      <c r="G34" s="2">
        <v>0.91964100000000004</v>
      </c>
      <c r="H34" s="2">
        <v>1.869E-3</v>
      </c>
      <c r="I34" s="2">
        <v>0</v>
      </c>
      <c r="J34" s="2">
        <v>0</v>
      </c>
      <c r="K34" s="2">
        <v>1.432323</v>
      </c>
      <c r="L34" s="2">
        <v>2.3538329999999998</v>
      </c>
      <c r="M34" s="2">
        <v>67.351890999999995</v>
      </c>
    </row>
    <row r="35" spans="1:13" x14ac:dyDescent="0.35">
      <c r="A35" s="2">
        <v>1972</v>
      </c>
      <c r="B35" s="2">
        <v>12.076917</v>
      </c>
      <c r="C35" s="2">
        <v>22.69819</v>
      </c>
      <c r="D35" s="2">
        <v>32.918906</v>
      </c>
      <c r="E35" s="2">
        <v>67.668047999999999</v>
      </c>
      <c r="F35" s="2">
        <v>0.58375200000000005</v>
      </c>
      <c r="G35" s="2">
        <v>0.941469</v>
      </c>
      <c r="H35" s="2">
        <v>4.9569999999999996E-3</v>
      </c>
      <c r="I35" s="2">
        <v>0</v>
      </c>
      <c r="J35" s="2">
        <v>0</v>
      </c>
      <c r="K35" s="2">
        <v>1.5030650000000001</v>
      </c>
      <c r="L35" s="2">
        <v>2.4494910000000001</v>
      </c>
      <c r="M35" s="2">
        <v>70.727518000000003</v>
      </c>
    </row>
    <row r="36" spans="1:13" x14ac:dyDescent="0.35">
      <c r="A36" s="2">
        <v>1973</v>
      </c>
      <c r="B36" s="2">
        <v>12.971489999999999</v>
      </c>
      <c r="C36" s="2">
        <v>22.512398999999998</v>
      </c>
      <c r="D36" s="2">
        <v>34.806024999999998</v>
      </c>
      <c r="E36" s="2">
        <v>70.282449999999997</v>
      </c>
      <c r="F36" s="2">
        <v>0.91017700000000001</v>
      </c>
      <c r="G36" s="2">
        <v>0.93976899999999997</v>
      </c>
      <c r="H36" s="2">
        <v>6.7070000000000003E-3</v>
      </c>
      <c r="I36" s="2">
        <v>0</v>
      </c>
      <c r="J36" s="2">
        <v>0</v>
      </c>
      <c r="K36" s="2">
        <v>1.5290680000000001</v>
      </c>
      <c r="L36" s="2">
        <v>2.4755440000000002</v>
      </c>
      <c r="M36" s="2">
        <v>73.716886000000002</v>
      </c>
    </row>
    <row r="37" spans="1:13" x14ac:dyDescent="0.35">
      <c r="A37" s="2">
        <v>1974</v>
      </c>
      <c r="B37" s="2">
        <v>12.662877999999999</v>
      </c>
      <c r="C37" s="2">
        <v>21.732488</v>
      </c>
      <c r="D37" s="2">
        <v>33.420613000000003</v>
      </c>
      <c r="E37" s="2">
        <v>67.872076000000007</v>
      </c>
      <c r="F37" s="2">
        <v>1.2720830000000001</v>
      </c>
      <c r="G37" s="2">
        <v>1.037971</v>
      </c>
      <c r="H37" s="2">
        <v>8.3680000000000004E-3</v>
      </c>
      <c r="I37" s="2">
        <v>0</v>
      </c>
      <c r="J37" s="2">
        <v>0</v>
      </c>
      <c r="K37" s="2">
        <v>1.5396620000000001</v>
      </c>
      <c r="L37" s="2">
        <v>2.586001</v>
      </c>
      <c r="M37" s="2">
        <v>71.773471000000001</v>
      </c>
    </row>
    <row r="38" spans="1:13" x14ac:dyDescent="0.35">
      <c r="A38" s="2">
        <v>1975</v>
      </c>
      <c r="B38" s="2">
        <v>12.662786000000001</v>
      </c>
      <c r="C38" s="2">
        <v>19.947883000000001</v>
      </c>
      <c r="D38" s="2">
        <v>32.698780999999997</v>
      </c>
      <c r="E38" s="2">
        <v>65.322990000000004</v>
      </c>
      <c r="F38" s="2">
        <v>1.8997980000000001</v>
      </c>
      <c r="G38" s="2">
        <v>1.034357</v>
      </c>
      <c r="H38" s="2">
        <v>1.1076000000000001E-2</v>
      </c>
      <c r="I38" s="2">
        <v>0</v>
      </c>
      <c r="J38" s="2">
        <v>0</v>
      </c>
      <c r="K38" s="2">
        <v>1.498734</v>
      </c>
      <c r="L38" s="2">
        <v>2.5441669999999998</v>
      </c>
      <c r="M38" s="2">
        <v>69.788058000000007</v>
      </c>
    </row>
    <row r="39" spans="1:13" x14ac:dyDescent="0.35">
      <c r="A39" s="2">
        <v>1976</v>
      </c>
      <c r="B39" s="2">
        <v>13.584066999999999</v>
      </c>
      <c r="C39" s="2">
        <v>20.345426</v>
      </c>
      <c r="D39" s="2">
        <v>35.141984999999998</v>
      </c>
      <c r="E39" s="2">
        <v>69.071378999999993</v>
      </c>
      <c r="F39" s="2">
        <v>2.1111209999999998</v>
      </c>
      <c r="G39" s="2">
        <v>0.97898600000000002</v>
      </c>
      <c r="H39" s="2">
        <v>1.2338999999999999E-2</v>
      </c>
      <c r="I39" s="2">
        <v>0</v>
      </c>
      <c r="J39" s="2">
        <v>0</v>
      </c>
      <c r="K39" s="2">
        <v>1.713373</v>
      </c>
      <c r="L39" s="2">
        <v>2.704698</v>
      </c>
      <c r="M39" s="2">
        <v>73.916574999999995</v>
      </c>
    </row>
    <row r="40" spans="1:13" x14ac:dyDescent="0.35">
      <c r="A40" s="2">
        <v>1977</v>
      </c>
      <c r="B40" s="2">
        <v>13.922103</v>
      </c>
      <c r="C40" s="2">
        <v>19.930513000000001</v>
      </c>
      <c r="D40" s="2">
        <v>37.082642</v>
      </c>
      <c r="E40" s="2">
        <v>70.949841000000006</v>
      </c>
      <c r="F40" s="2">
        <v>2.701762</v>
      </c>
      <c r="G40" s="2">
        <v>0.76291900000000001</v>
      </c>
      <c r="H40" s="2">
        <v>1.2222999999999999E-2</v>
      </c>
      <c r="I40" s="2">
        <v>0</v>
      </c>
      <c r="J40" s="2">
        <v>0</v>
      </c>
      <c r="K40" s="2">
        <v>1.8383320000000001</v>
      </c>
      <c r="L40" s="2">
        <v>2.6134740000000001</v>
      </c>
      <c r="M40" s="2">
        <v>76.324499000000003</v>
      </c>
    </row>
    <row r="41" spans="1:13" x14ac:dyDescent="0.35">
      <c r="A41" s="2">
        <v>1978</v>
      </c>
      <c r="B41" s="2">
        <v>13.765575</v>
      </c>
      <c r="C41" s="2">
        <v>20.000399999999999</v>
      </c>
      <c r="D41" s="2">
        <v>37.919119000000002</v>
      </c>
      <c r="E41" s="2">
        <v>71.809820000000002</v>
      </c>
      <c r="F41" s="2">
        <v>3.0241259999999999</v>
      </c>
      <c r="G41" s="2">
        <v>0.96718300000000001</v>
      </c>
      <c r="H41" s="2">
        <v>1.0160000000000001E-2</v>
      </c>
      <c r="I41" s="2">
        <v>0</v>
      </c>
      <c r="J41" s="2">
        <v>0</v>
      </c>
      <c r="K41" s="2">
        <v>2.0376050000000001</v>
      </c>
      <c r="L41" s="2">
        <v>3.014948</v>
      </c>
      <c r="M41" s="2">
        <v>77.916212000000002</v>
      </c>
    </row>
    <row r="42" spans="1:13" x14ac:dyDescent="0.35">
      <c r="A42" s="2">
        <v>1979</v>
      </c>
      <c r="B42" s="2">
        <v>15.039586</v>
      </c>
      <c r="C42" s="2">
        <v>20.665817000000001</v>
      </c>
      <c r="D42" s="2">
        <v>37.075477999999997</v>
      </c>
      <c r="E42" s="2">
        <v>72.843726000000004</v>
      </c>
      <c r="F42" s="2">
        <v>2.775827</v>
      </c>
      <c r="G42" s="2">
        <v>0.96585500000000002</v>
      </c>
      <c r="H42" s="2">
        <v>1.3269E-2</v>
      </c>
      <c r="I42" s="2">
        <v>0</v>
      </c>
      <c r="J42" s="2">
        <v>0</v>
      </c>
      <c r="K42" s="2">
        <v>2.1519059999999999</v>
      </c>
      <c r="L42" s="2">
        <v>3.1310310000000001</v>
      </c>
      <c r="M42" s="2">
        <v>78.819963999999999</v>
      </c>
    </row>
    <row r="43" spans="1:13" x14ac:dyDescent="0.35">
      <c r="A43" s="2">
        <v>1980</v>
      </c>
      <c r="B43" s="2">
        <v>15.422809000000001</v>
      </c>
      <c r="C43" s="2">
        <v>20.235458999999999</v>
      </c>
      <c r="D43" s="2">
        <v>34.158965000000002</v>
      </c>
      <c r="E43" s="2">
        <v>69.782202999999996</v>
      </c>
      <c r="F43" s="2">
        <v>2.739169</v>
      </c>
      <c r="G43" s="2">
        <v>0.952569</v>
      </c>
      <c r="H43" s="2">
        <v>1.7309000000000001E-2</v>
      </c>
      <c r="I43" s="2">
        <v>0</v>
      </c>
      <c r="J43" s="2">
        <v>0</v>
      </c>
      <c r="K43" s="2">
        <v>2.4754999999999998</v>
      </c>
      <c r="L43" s="2">
        <v>3.4453779999999998</v>
      </c>
      <c r="M43" s="2">
        <v>76.038149000000004</v>
      </c>
    </row>
    <row r="44" spans="1:13" x14ac:dyDescent="0.35">
      <c r="A44" s="2">
        <v>1981</v>
      </c>
      <c r="B44" s="2">
        <v>15.907526000000001</v>
      </c>
      <c r="C44" s="2">
        <v>19.747309999999999</v>
      </c>
      <c r="D44" s="2">
        <v>31.883616</v>
      </c>
      <c r="E44" s="2">
        <v>67.522503999999998</v>
      </c>
      <c r="F44" s="2">
        <v>3.0075889999999998</v>
      </c>
      <c r="G44" s="2">
        <v>0.90023799999999998</v>
      </c>
      <c r="H44" s="2">
        <v>1.9401000000000002E-2</v>
      </c>
      <c r="I44" s="2">
        <v>0</v>
      </c>
      <c r="J44" s="2">
        <v>0</v>
      </c>
      <c r="K44" s="2">
        <v>2.5962830000000001</v>
      </c>
      <c r="L44" s="2">
        <v>3.5159220000000002</v>
      </c>
      <c r="M44" s="2">
        <v>74.159419999999997</v>
      </c>
    </row>
    <row r="45" spans="1:13" x14ac:dyDescent="0.35">
      <c r="A45" s="2">
        <v>1982</v>
      </c>
      <c r="B45" s="2">
        <v>15.321581</v>
      </c>
      <c r="C45" s="2">
        <v>18.356221999999999</v>
      </c>
      <c r="D45" s="2">
        <v>30.17923</v>
      </c>
      <c r="E45" s="2">
        <v>63.835377000000001</v>
      </c>
      <c r="F45" s="2">
        <v>3.131148</v>
      </c>
      <c r="G45" s="2">
        <v>1.06582</v>
      </c>
      <c r="H45" s="2">
        <v>1.6524E-2</v>
      </c>
      <c r="I45" s="2">
        <v>0</v>
      </c>
      <c r="J45" s="2">
        <v>0</v>
      </c>
      <c r="K45" s="2">
        <v>2.6634519999999999</v>
      </c>
      <c r="L45" s="2">
        <v>3.7457959999999999</v>
      </c>
      <c r="M45" s="2">
        <v>70.812347000000003</v>
      </c>
    </row>
    <row r="46" spans="1:13" x14ac:dyDescent="0.35">
      <c r="A46" s="2">
        <v>1983</v>
      </c>
      <c r="B46" s="2">
        <v>15.894442</v>
      </c>
      <c r="C46" s="2">
        <v>17.220835999999998</v>
      </c>
      <c r="D46" s="2">
        <v>29.997043999999999</v>
      </c>
      <c r="E46" s="2">
        <v>63.096685999999998</v>
      </c>
      <c r="F46" s="2">
        <v>3.2025489999999999</v>
      </c>
      <c r="G46" s="2">
        <v>1.144012</v>
      </c>
      <c r="H46" s="2">
        <v>2.0728E-2</v>
      </c>
      <c r="I46" s="2">
        <v>0</v>
      </c>
      <c r="J46" s="2">
        <v>9.0000000000000002E-6</v>
      </c>
      <c r="K46" s="2">
        <v>2.9044140000000001</v>
      </c>
      <c r="L46" s="2">
        <v>4.0691639999999998</v>
      </c>
      <c r="M46" s="2">
        <v>70.488945999999999</v>
      </c>
    </row>
    <row r="47" spans="1:13" x14ac:dyDescent="0.35">
      <c r="A47" s="2">
        <v>1984</v>
      </c>
      <c r="B47" s="2">
        <v>17.070622</v>
      </c>
      <c r="C47" s="2">
        <v>18.393612999999998</v>
      </c>
      <c r="D47" s="2">
        <v>30.992232000000001</v>
      </c>
      <c r="E47" s="2">
        <v>66.444979000000004</v>
      </c>
      <c r="F47" s="2">
        <v>3.5525310000000001</v>
      </c>
      <c r="G47" s="2">
        <v>1.1065499999999999</v>
      </c>
      <c r="H47" s="2">
        <v>2.6411E-2</v>
      </c>
      <c r="I47" s="2">
        <v>1.8E-5</v>
      </c>
      <c r="J47" s="2">
        <v>2.1999999999999999E-5</v>
      </c>
      <c r="K47" s="2">
        <v>2.97112</v>
      </c>
      <c r="L47" s="2">
        <v>4.1041210000000001</v>
      </c>
      <c r="M47" s="2">
        <v>74.236953999999997</v>
      </c>
    </row>
    <row r="48" spans="1:13" x14ac:dyDescent="0.35">
      <c r="A48" s="2">
        <v>1985</v>
      </c>
      <c r="B48" s="2">
        <v>17.478428000000001</v>
      </c>
      <c r="C48" s="2">
        <v>17.703482000000001</v>
      </c>
      <c r="D48" s="2">
        <v>30.866482000000001</v>
      </c>
      <c r="E48" s="2">
        <v>66.034899999999993</v>
      </c>
      <c r="F48" s="2">
        <v>4.0755629999999998</v>
      </c>
      <c r="G48" s="2">
        <v>0.97006800000000004</v>
      </c>
      <c r="H48" s="2">
        <v>3.1817999999999999E-2</v>
      </c>
      <c r="I48" s="2">
        <v>3.6000000000000001E-5</v>
      </c>
      <c r="J48" s="2">
        <v>2.0000000000000002E-5</v>
      </c>
      <c r="K48" s="2">
        <v>3.0162330000000002</v>
      </c>
      <c r="L48" s="2">
        <v>4.0181740000000001</v>
      </c>
      <c r="M48" s="2">
        <v>74.268292000000002</v>
      </c>
    </row>
    <row r="49" spans="1:13" x14ac:dyDescent="0.35">
      <c r="A49" s="2">
        <v>1986</v>
      </c>
      <c r="B49" s="2">
        <v>17.260404999999999</v>
      </c>
      <c r="C49" s="2">
        <v>16.591363999999999</v>
      </c>
      <c r="D49" s="2">
        <v>32.150143</v>
      </c>
      <c r="E49" s="2">
        <v>65.985157999999998</v>
      </c>
      <c r="F49" s="2">
        <v>4.380109</v>
      </c>
      <c r="G49" s="2">
        <v>1.0031460000000001</v>
      </c>
      <c r="H49" s="2">
        <v>3.5171000000000001E-2</v>
      </c>
      <c r="I49" s="2">
        <v>4.8000000000000001E-5</v>
      </c>
      <c r="J49" s="2">
        <v>1.4E-5</v>
      </c>
      <c r="K49" s="2">
        <v>2.9320949999999999</v>
      </c>
      <c r="L49" s="2">
        <v>3.9704730000000001</v>
      </c>
      <c r="M49" s="2">
        <v>74.458220999999995</v>
      </c>
    </row>
    <row r="50" spans="1:13" x14ac:dyDescent="0.35">
      <c r="A50" s="2">
        <v>1987</v>
      </c>
      <c r="B50" s="2">
        <v>18.008451000000001</v>
      </c>
      <c r="C50" s="2">
        <v>17.639800999999999</v>
      </c>
      <c r="D50" s="2">
        <v>32.817478999999999</v>
      </c>
      <c r="E50" s="2">
        <v>68.474361000000002</v>
      </c>
      <c r="F50" s="2">
        <v>4.753933</v>
      </c>
      <c r="G50" s="2">
        <v>0.86274499999999998</v>
      </c>
      <c r="H50" s="2">
        <v>3.6766E-2</v>
      </c>
      <c r="I50" s="2">
        <v>3.6000000000000001E-5</v>
      </c>
      <c r="J50" s="2">
        <v>1.2E-5</v>
      </c>
      <c r="K50" s="2">
        <v>2.8748840000000002</v>
      </c>
      <c r="L50" s="2">
        <v>3.7744430000000002</v>
      </c>
      <c r="M50" s="2">
        <v>77.160837999999998</v>
      </c>
    </row>
    <row r="51" spans="1:13" x14ac:dyDescent="0.35">
      <c r="A51" s="2">
        <v>1988</v>
      </c>
      <c r="B51" s="2">
        <v>18.846312000000001</v>
      </c>
      <c r="C51" s="2">
        <v>18.448392999999999</v>
      </c>
      <c r="D51" s="2">
        <v>34.172792000000001</v>
      </c>
      <c r="E51" s="2">
        <v>71.507047999999998</v>
      </c>
      <c r="F51" s="2">
        <v>5.5869679999999997</v>
      </c>
      <c r="G51" s="2">
        <v>0.77145600000000003</v>
      </c>
      <c r="H51" s="2">
        <v>3.5144000000000002E-2</v>
      </c>
      <c r="I51" s="2">
        <v>3.1000000000000001E-5</v>
      </c>
      <c r="J51" s="2">
        <v>3.0000000000000001E-6</v>
      </c>
      <c r="K51" s="2">
        <v>3.0160490000000002</v>
      </c>
      <c r="L51" s="2">
        <v>3.8226819999999999</v>
      </c>
      <c r="M51" s="2">
        <v>81.025097000000002</v>
      </c>
    </row>
    <row r="52" spans="1:13" x14ac:dyDescent="0.35">
      <c r="A52" s="2">
        <v>1989</v>
      </c>
      <c r="B52" s="2">
        <v>19.069762000000001</v>
      </c>
      <c r="C52" s="2">
        <v>19.601606</v>
      </c>
      <c r="D52" s="2">
        <v>34.163952000000002</v>
      </c>
      <c r="E52" s="2">
        <v>72.865724999999998</v>
      </c>
      <c r="F52" s="2">
        <v>5.6021609999999997</v>
      </c>
      <c r="G52" s="2">
        <v>0.92798499999999995</v>
      </c>
      <c r="H52" s="2">
        <v>5.9093E-2</v>
      </c>
      <c r="I52" s="2">
        <v>5.2495E-2</v>
      </c>
      <c r="J52" s="2">
        <v>7.2059999999999997E-3</v>
      </c>
      <c r="K52" s="2">
        <v>3.159357</v>
      </c>
      <c r="L52" s="2">
        <v>4.2061359999999999</v>
      </c>
      <c r="M52" s="2">
        <v>82.711472000000001</v>
      </c>
    </row>
    <row r="53" spans="1:13" x14ac:dyDescent="0.35">
      <c r="A53" s="2">
        <v>1990</v>
      </c>
      <c r="B53" s="2">
        <v>19.172635</v>
      </c>
      <c r="C53" s="2">
        <v>19.603266999999999</v>
      </c>
      <c r="D53" s="2">
        <v>33.499918000000001</v>
      </c>
      <c r="E53" s="2">
        <v>72.280597999999998</v>
      </c>
      <c r="F53" s="2">
        <v>6.1043500000000002</v>
      </c>
      <c r="G53" s="2">
        <v>0.99925799999999998</v>
      </c>
      <c r="H53" s="2">
        <v>6.2862000000000001E-2</v>
      </c>
      <c r="I53" s="2">
        <v>5.5961999999999998E-2</v>
      </c>
      <c r="J53" s="2">
        <v>9.5149999999999992E-3</v>
      </c>
      <c r="K53" s="2">
        <v>2.735112</v>
      </c>
      <c r="L53" s="2">
        <v>3.862708</v>
      </c>
      <c r="M53" s="2">
        <v>82.255544999999998</v>
      </c>
    </row>
    <row r="54" spans="1:13" x14ac:dyDescent="0.35">
      <c r="A54" s="2">
        <v>1991</v>
      </c>
      <c r="B54" s="2">
        <v>18.991669999999999</v>
      </c>
      <c r="C54" s="2">
        <v>20.032958000000001</v>
      </c>
      <c r="D54" s="2">
        <v>32.789101000000002</v>
      </c>
      <c r="E54" s="2">
        <v>71.823417000000006</v>
      </c>
      <c r="F54" s="2">
        <v>6.4221320000000004</v>
      </c>
      <c r="G54" s="2">
        <v>0.98604800000000004</v>
      </c>
      <c r="H54" s="2">
        <v>6.5477999999999995E-2</v>
      </c>
      <c r="I54" s="2">
        <v>5.8040000000000001E-2</v>
      </c>
      <c r="J54" s="2">
        <v>1.0069E-2</v>
      </c>
      <c r="K54" s="2">
        <v>2.7817970000000001</v>
      </c>
      <c r="L54" s="2">
        <v>3.9014310000000001</v>
      </c>
      <c r="M54" s="2">
        <v>82.213947000000005</v>
      </c>
    </row>
    <row r="55" spans="1:13" x14ac:dyDescent="0.35">
      <c r="A55" s="2">
        <v>1992</v>
      </c>
      <c r="B55" s="2">
        <v>19.122471000000001</v>
      </c>
      <c r="C55" s="2">
        <v>20.713632</v>
      </c>
      <c r="D55" s="2">
        <v>33.467661</v>
      </c>
      <c r="E55" s="2">
        <v>73.338389000000006</v>
      </c>
      <c r="F55" s="2">
        <v>6.4792059999999996</v>
      </c>
      <c r="G55" s="2">
        <v>0.86353599999999997</v>
      </c>
      <c r="H55" s="2">
        <v>6.6863000000000006E-2</v>
      </c>
      <c r="I55" s="2">
        <v>5.9818999999999997E-2</v>
      </c>
      <c r="J55" s="2">
        <v>9.8519999999999996E-3</v>
      </c>
      <c r="K55" s="2">
        <v>2.9316779999999998</v>
      </c>
      <c r="L55" s="2">
        <v>3.9317479999999998</v>
      </c>
      <c r="M55" s="2">
        <v>83.836077000000003</v>
      </c>
    </row>
    <row r="56" spans="1:13" x14ac:dyDescent="0.35">
      <c r="A56" s="2">
        <v>1993</v>
      </c>
      <c r="B56" s="2">
        <v>19.835148</v>
      </c>
      <c r="C56" s="2">
        <v>21.228999999999999</v>
      </c>
      <c r="D56" s="2">
        <v>33.587586999999999</v>
      </c>
      <c r="E56" s="2">
        <v>74.678843999999998</v>
      </c>
      <c r="F56" s="2">
        <v>6.4104989999999997</v>
      </c>
      <c r="G56" s="2">
        <v>0.95704599999999995</v>
      </c>
      <c r="H56" s="2">
        <v>6.9883000000000001E-2</v>
      </c>
      <c r="I56" s="2">
        <v>6.1682000000000001E-2</v>
      </c>
      <c r="J56" s="2">
        <v>1.0255999999999999E-2</v>
      </c>
      <c r="K56" s="2">
        <v>2.908172</v>
      </c>
      <c r="L56" s="2">
        <v>4.0070379999999997</v>
      </c>
      <c r="M56" s="2">
        <v>85.191289999999995</v>
      </c>
    </row>
    <row r="57" spans="1:13" x14ac:dyDescent="0.35">
      <c r="A57" s="2">
        <v>1994</v>
      </c>
      <c r="B57" s="2">
        <v>19.909462999999999</v>
      </c>
      <c r="C57" s="2">
        <v>21.728066999999999</v>
      </c>
      <c r="D57" s="2">
        <v>34.453420000000001</v>
      </c>
      <c r="E57" s="2">
        <v>76.149277999999995</v>
      </c>
      <c r="F57" s="2">
        <v>6.6938769999999996</v>
      </c>
      <c r="G57" s="2">
        <v>0.88754900000000003</v>
      </c>
      <c r="H57" s="2">
        <v>6.6207000000000002E-2</v>
      </c>
      <c r="I57" s="2">
        <v>6.3409999999999994E-2</v>
      </c>
      <c r="J57" s="2">
        <v>1.1762E-2</v>
      </c>
      <c r="K57" s="2">
        <v>3.0275340000000002</v>
      </c>
      <c r="L57" s="2">
        <v>4.0564609999999997</v>
      </c>
      <c r="M57" s="2">
        <v>87.052554000000001</v>
      </c>
    </row>
    <row r="58" spans="1:13" x14ac:dyDescent="0.35">
      <c r="A58" s="2">
        <v>1995</v>
      </c>
      <c r="B58" s="2">
        <v>20.088726999999999</v>
      </c>
      <c r="C58" s="2">
        <v>22.671139</v>
      </c>
      <c r="D58" s="2">
        <v>34.341116999999997</v>
      </c>
      <c r="E58" s="2">
        <v>77.162043999999995</v>
      </c>
      <c r="F58" s="2">
        <v>7.0754359999999998</v>
      </c>
      <c r="G58" s="2">
        <v>1.0605610000000001</v>
      </c>
      <c r="H58" s="2">
        <v>5.9747000000000001E-2</v>
      </c>
      <c r="I58" s="2">
        <v>6.4395999999999995E-2</v>
      </c>
      <c r="J58" s="2">
        <v>1.0796E-2</v>
      </c>
      <c r="K58" s="2">
        <v>3.1011419999999998</v>
      </c>
      <c r="L58" s="2">
        <v>4.2966430000000004</v>
      </c>
      <c r="M58" s="2">
        <v>88.667979000000003</v>
      </c>
    </row>
    <row r="59" spans="1:13" x14ac:dyDescent="0.35">
      <c r="A59" s="2">
        <v>1996</v>
      </c>
      <c r="B59" s="2">
        <v>21.001913999999999</v>
      </c>
      <c r="C59" s="2">
        <v>23.084647</v>
      </c>
      <c r="D59" s="2">
        <v>35.588926999999998</v>
      </c>
      <c r="E59" s="2">
        <v>79.698299000000006</v>
      </c>
      <c r="F59" s="2">
        <v>7.0866740000000004</v>
      </c>
      <c r="G59" s="2">
        <v>1.184517</v>
      </c>
      <c r="H59" s="2">
        <v>6.4088999999999993E-2</v>
      </c>
      <c r="I59" s="2">
        <v>6.5051999999999999E-2</v>
      </c>
      <c r="J59" s="2">
        <v>1.1035E-2</v>
      </c>
      <c r="K59" s="2">
        <v>3.156806</v>
      </c>
      <c r="L59" s="2">
        <v>4.4814990000000003</v>
      </c>
      <c r="M59" s="2">
        <v>91.403616</v>
      </c>
    </row>
    <row r="60" spans="1:13" x14ac:dyDescent="0.35">
      <c r="A60" s="2">
        <v>1997</v>
      </c>
      <c r="B60" s="2">
        <v>21.445411</v>
      </c>
      <c r="C60" s="2">
        <v>23.222715999999998</v>
      </c>
      <c r="D60" s="2">
        <v>36.065114999999999</v>
      </c>
      <c r="E60" s="2">
        <v>80.779681999999994</v>
      </c>
      <c r="F60" s="2">
        <v>6.5969920000000002</v>
      </c>
      <c r="G60" s="2">
        <v>1.2162189999999999</v>
      </c>
      <c r="H60" s="2">
        <v>6.6545000000000007E-2</v>
      </c>
      <c r="I60" s="2">
        <v>6.4172000000000007E-2</v>
      </c>
      <c r="J60" s="2">
        <v>1.1219E-2</v>
      </c>
      <c r="K60" s="2">
        <v>3.1052200000000001</v>
      </c>
      <c r="L60" s="2">
        <v>4.4633750000000001</v>
      </c>
      <c r="M60" s="2">
        <v>91.956252000000006</v>
      </c>
    </row>
    <row r="61" spans="1:13" x14ac:dyDescent="0.35">
      <c r="A61" s="2">
        <v>1998</v>
      </c>
      <c r="B61" s="2">
        <v>21.655743999999999</v>
      </c>
      <c r="C61" s="2">
        <v>22.830226</v>
      </c>
      <c r="D61" s="2">
        <v>36.719796000000002</v>
      </c>
      <c r="E61" s="2">
        <v>81.272862000000003</v>
      </c>
      <c r="F61" s="2">
        <v>7.0678089999999996</v>
      </c>
      <c r="G61" s="2">
        <v>1.103221</v>
      </c>
      <c r="H61" s="2">
        <v>6.8209000000000006E-2</v>
      </c>
      <c r="I61" s="2">
        <v>6.3454999999999998E-2</v>
      </c>
      <c r="J61" s="2">
        <v>1.0324E-2</v>
      </c>
      <c r="K61" s="2">
        <v>2.9274900000000001</v>
      </c>
      <c r="L61" s="2">
        <v>4.1726989999999997</v>
      </c>
      <c r="M61" s="2">
        <v>92.601594000000006</v>
      </c>
    </row>
    <row r="62" spans="1:13" x14ac:dyDescent="0.35">
      <c r="A62" s="2">
        <v>1999</v>
      </c>
      <c r="B62" s="2">
        <v>21.622544000000001</v>
      </c>
      <c r="C62" s="2">
        <v>22.909227000000001</v>
      </c>
      <c r="D62" s="2">
        <v>37.732135</v>
      </c>
      <c r="E62" s="2">
        <v>82.321597999999994</v>
      </c>
      <c r="F62" s="2">
        <v>7.6102559999999997</v>
      </c>
      <c r="G62" s="2">
        <v>1.090257</v>
      </c>
      <c r="H62" s="2">
        <v>6.9889999999999994E-2</v>
      </c>
      <c r="I62" s="2">
        <v>6.2010000000000003E-2</v>
      </c>
      <c r="J62" s="2">
        <v>1.5313E-2</v>
      </c>
      <c r="K62" s="2">
        <v>2.9632900000000002</v>
      </c>
      <c r="L62" s="2">
        <v>4.2007599999999998</v>
      </c>
      <c r="M62" s="2">
        <v>94.231538</v>
      </c>
    </row>
    <row r="63" spans="1:13" x14ac:dyDescent="0.35">
      <c r="A63" s="2">
        <v>2000</v>
      </c>
      <c r="B63" s="2">
        <v>22.579528</v>
      </c>
      <c r="C63" s="2">
        <v>23.823976999999999</v>
      </c>
      <c r="D63" s="2">
        <v>38.151573999999997</v>
      </c>
      <c r="E63" s="2">
        <v>84.620441999999997</v>
      </c>
      <c r="F63" s="2">
        <v>7.862349</v>
      </c>
      <c r="G63" s="2">
        <v>0.94025400000000003</v>
      </c>
      <c r="H63" s="2">
        <v>6.8685999999999997E-2</v>
      </c>
      <c r="I63" s="2">
        <v>5.9348999999999999E-2</v>
      </c>
      <c r="J63" s="2">
        <v>1.9084E-2</v>
      </c>
      <c r="K63" s="2">
        <v>3.0082270000000002</v>
      </c>
      <c r="L63" s="2">
        <v>4.095599</v>
      </c>
      <c r="M63" s="2">
        <v>96.69359</v>
      </c>
    </row>
    <row r="64" spans="1:13" x14ac:dyDescent="0.35">
      <c r="A64" s="2">
        <v>2001</v>
      </c>
      <c r="B64" s="2">
        <v>21.914268</v>
      </c>
      <c r="C64" s="2">
        <v>22.772558</v>
      </c>
      <c r="D64" s="2">
        <v>38.083672999999997</v>
      </c>
      <c r="E64" s="2">
        <v>82.799757999999997</v>
      </c>
      <c r="F64" s="2">
        <v>8.0288529999999998</v>
      </c>
      <c r="G64" s="2">
        <v>0.74027100000000001</v>
      </c>
      <c r="H64" s="2">
        <v>6.9362999999999994E-2</v>
      </c>
      <c r="I64" s="2">
        <v>5.6967999999999998E-2</v>
      </c>
      <c r="J64" s="2">
        <v>2.2988000000000001E-2</v>
      </c>
      <c r="K64" s="2">
        <v>2.6223559999999999</v>
      </c>
      <c r="L64" s="2">
        <v>3.5119449999999999</v>
      </c>
      <c r="M64" s="2">
        <v>94.415712999999997</v>
      </c>
    </row>
    <row r="65" spans="1:13" x14ac:dyDescent="0.35">
      <c r="A65" s="2">
        <v>2002</v>
      </c>
      <c r="B65" s="2">
        <v>21.903988999999999</v>
      </c>
      <c r="C65" s="2">
        <v>23.510081</v>
      </c>
      <c r="D65" s="2">
        <v>38.117421999999998</v>
      </c>
      <c r="E65" s="2">
        <v>83.592250000000007</v>
      </c>
      <c r="F65" s="2">
        <v>8.145429</v>
      </c>
      <c r="G65" s="2">
        <v>0.90188999999999997</v>
      </c>
      <c r="H65" s="2">
        <v>7.3188000000000003E-2</v>
      </c>
      <c r="I65" s="2">
        <v>5.5128000000000003E-2</v>
      </c>
      <c r="J65" s="2">
        <v>3.5328999999999999E-2</v>
      </c>
      <c r="K65" s="2">
        <v>2.7006209999999999</v>
      </c>
      <c r="L65" s="2">
        <v>3.7661560000000001</v>
      </c>
      <c r="M65" s="2">
        <v>95.575430999999995</v>
      </c>
    </row>
    <row r="66" spans="1:13" x14ac:dyDescent="0.35">
      <c r="A66" s="2">
        <v>2003</v>
      </c>
      <c r="B66" s="2">
        <v>22.320927999999999</v>
      </c>
      <c r="C66" s="2">
        <v>22.830642000000001</v>
      </c>
      <c r="D66" s="2">
        <v>38.707000999999998</v>
      </c>
      <c r="E66" s="2">
        <v>83.909087</v>
      </c>
      <c r="F66" s="2">
        <v>7.9596220000000004</v>
      </c>
      <c r="G66" s="2">
        <v>0.94105099999999997</v>
      </c>
      <c r="H66" s="2">
        <v>7.6615000000000003E-2</v>
      </c>
      <c r="I66" s="2">
        <v>5.357E-2</v>
      </c>
      <c r="J66" s="2">
        <v>3.8171999999999998E-2</v>
      </c>
      <c r="K66" s="2">
        <v>2.8064710000000002</v>
      </c>
      <c r="L66" s="2">
        <v>3.9158789999999999</v>
      </c>
      <c r="M66" s="2">
        <v>95.806493000000003</v>
      </c>
    </row>
    <row r="67" spans="1:13" x14ac:dyDescent="0.35">
      <c r="A67" s="2">
        <v>2004</v>
      </c>
      <c r="B67" s="2">
        <v>22.466194999999999</v>
      </c>
      <c r="C67" s="2">
        <v>22.923061000000001</v>
      </c>
      <c r="D67" s="2">
        <v>40.139252999999997</v>
      </c>
      <c r="E67" s="2">
        <v>85.666270999999995</v>
      </c>
      <c r="F67" s="2">
        <v>8.2227739999999994</v>
      </c>
      <c r="G67" s="2">
        <v>0.91583999999999999</v>
      </c>
      <c r="H67" s="2">
        <v>8.0335000000000004E-2</v>
      </c>
      <c r="I67" s="2">
        <v>5.3020999999999999E-2</v>
      </c>
      <c r="J67" s="2">
        <v>4.8258000000000002E-2</v>
      </c>
      <c r="K67" s="2">
        <v>3.008073</v>
      </c>
      <c r="L67" s="2">
        <v>4.1055270000000004</v>
      </c>
      <c r="M67" s="2">
        <v>98.033168000000003</v>
      </c>
    </row>
    <row r="68" spans="1:13" x14ac:dyDescent="0.35">
      <c r="A68" s="2">
        <v>2005</v>
      </c>
      <c r="B68" s="2">
        <v>22.796543</v>
      </c>
      <c r="C68" s="2">
        <v>22.565363999999999</v>
      </c>
      <c r="D68" s="2">
        <v>40.216568000000002</v>
      </c>
      <c r="E68" s="2">
        <v>85.622667000000007</v>
      </c>
      <c r="F68" s="2">
        <v>8.1608099999999997</v>
      </c>
      <c r="G68" s="2">
        <v>0.92233600000000004</v>
      </c>
      <c r="H68" s="2">
        <v>8.3928000000000003E-2</v>
      </c>
      <c r="I68" s="2">
        <v>5.1938999999999999E-2</v>
      </c>
      <c r="J68" s="2">
        <v>6.0769999999999998E-2</v>
      </c>
      <c r="K68" s="2">
        <v>3.1139299999999999</v>
      </c>
      <c r="L68" s="2">
        <v>4.2329040000000004</v>
      </c>
      <c r="M68" s="2">
        <v>98.100924000000006</v>
      </c>
    </row>
    <row r="69" spans="1:13" x14ac:dyDescent="0.35">
      <c r="A69" s="2">
        <v>2006</v>
      </c>
      <c r="B69" s="2">
        <v>22.44716</v>
      </c>
      <c r="C69" s="2">
        <v>22.238738000000001</v>
      </c>
      <c r="D69" s="2">
        <v>39.730511999999997</v>
      </c>
      <c r="E69" s="2">
        <v>84.477197000000004</v>
      </c>
      <c r="F69" s="2">
        <v>8.2146260000000009</v>
      </c>
      <c r="G69" s="2">
        <v>0.98690900000000004</v>
      </c>
      <c r="H69" s="2">
        <v>8.6405999999999997E-2</v>
      </c>
      <c r="I69" s="2">
        <v>5.4094999999999997E-2</v>
      </c>
      <c r="J69" s="2">
        <v>9.0721999999999997E-2</v>
      </c>
      <c r="K69" s="2">
        <v>3.26214</v>
      </c>
      <c r="L69" s="2">
        <v>4.4802720000000003</v>
      </c>
      <c r="M69" s="2">
        <v>97.234943999999999</v>
      </c>
    </row>
    <row r="70" spans="1:13" x14ac:dyDescent="0.35">
      <c r="A70" s="2">
        <v>2007</v>
      </c>
      <c r="B70" s="2">
        <v>22.749466000000002</v>
      </c>
      <c r="C70" s="2">
        <v>23.662759000000001</v>
      </c>
      <c r="D70" s="2">
        <v>39.367615000000001</v>
      </c>
      <c r="E70" s="2">
        <v>85.805031999999997</v>
      </c>
      <c r="F70" s="2">
        <v>8.4585889999999999</v>
      </c>
      <c r="G70" s="2">
        <v>0.84450400000000003</v>
      </c>
      <c r="H70" s="2">
        <v>9.1041999999999998E-2</v>
      </c>
      <c r="I70" s="2">
        <v>5.6945999999999997E-2</v>
      </c>
      <c r="J70" s="2">
        <v>0.11754299999999999</v>
      </c>
      <c r="K70" s="2">
        <v>3.4848240000000001</v>
      </c>
      <c r="L70" s="2">
        <v>4.5948589999999996</v>
      </c>
      <c r="M70" s="2">
        <v>98.965112000000005</v>
      </c>
    </row>
    <row r="71" spans="1:13" x14ac:dyDescent="0.35">
      <c r="A71" s="2">
        <v>2008</v>
      </c>
      <c r="B71" s="2">
        <v>22.387436999999998</v>
      </c>
      <c r="C71" s="2">
        <v>23.842953000000001</v>
      </c>
      <c r="D71" s="2">
        <v>36.769382999999998</v>
      </c>
      <c r="E71" s="2">
        <v>83.040546000000006</v>
      </c>
      <c r="F71" s="2">
        <v>8.4264910000000004</v>
      </c>
      <c r="G71" s="2">
        <v>0.86948499999999995</v>
      </c>
      <c r="H71" s="2">
        <v>9.6834000000000003E-2</v>
      </c>
      <c r="I71" s="2">
        <v>6.1095999999999998E-2</v>
      </c>
      <c r="J71" s="2">
        <v>0.18889900000000001</v>
      </c>
      <c r="K71" s="2">
        <v>3.8513920000000001</v>
      </c>
      <c r="L71" s="2">
        <v>5.0677050000000001</v>
      </c>
      <c r="M71" s="2">
        <v>96.646727999999996</v>
      </c>
    </row>
    <row r="72" spans="1:13" x14ac:dyDescent="0.35">
      <c r="A72" s="2">
        <v>2009</v>
      </c>
      <c r="B72" s="2">
        <v>19.691205</v>
      </c>
      <c r="C72" s="2">
        <v>23.415939999999999</v>
      </c>
      <c r="D72" s="2">
        <v>34.779150000000001</v>
      </c>
      <c r="E72" s="2">
        <v>77.862483999999995</v>
      </c>
      <c r="F72" s="2">
        <v>8.3552199999999992</v>
      </c>
      <c r="G72" s="2">
        <v>0.93299500000000002</v>
      </c>
      <c r="H72" s="2">
        <v>0.10491</v>
      </c>
      <c r="I72" s="2">
        <v>6.2524999999999997E-2</v>
      </c>
      <c r="J72" s="2">
        <v>0.25209900000000002</v>
      </c>
      <c r="K72" s="2">
        <v>3.9400089999999999</v>
      </c>
      <c r="L72" s="2">
        <v>5.2925370000000003</v>
      </c>
      <c r="M72" s="2">
        <v>91.626429000000002</v>
      </c>
    </row>
    <row r="73" spans="1:13" x14ac:dyDescent="0.35">
      <c r="A73" s="2">
        <v>2010</v>
      </c>
      <c r="B73" s="2">
        <v>20.833967999999999</v>
      </c>
      <c r="C73" s="2">
        <v>24.574753999999999</v>
      </c>
      <c r="D73" s="2">
        <v>35.320511000000003</v>
      </c>
      <c r="E73" s="2">
        <v>80.723061000000001</v>
      </c>
      <c r="F73" s="2">
        <v>8.4344330000000003</v>
      </c>
      <c r="G73" s="2">
        <v>0.88781299999999996</v>
      </c>
      <c r="H73" s="2">
        <v>0.111428</v>
      </c>
      <c r="I73" s="2">
        <v>6.7852999999999997E-2</v>
      </c>
      <c r="J73" s="2">
        <v>0.32295299999999999</v>
      </c>
      <c r="K73" s="2">
        <v>4.5056289999999999</v>
      </c>
      <c r="L73" s="2">
        <v>5.8956770000000001</v>
      </c>
      <c r="M73" s="2">
        <v>95.141803999999993</v>
      </c>
    </row>
    <row r="74" spans="1:13" x14ac:dyDescent="0.35">
      <c r="A74" s="2">
        <v>2011</v>
      </c>
      <c r="B74" s="2">
        <v>19.657783999999999</v>
      </c>
      <c r="C74" s="2">
        <v>24.954539</v>
      </c>
      <c r="D74" s="2">
        <v>34.639173999999997</v>
      </c>
      <c r="E74" s="2">
        <v>79.262601000000004</v>
      </c>
      <c r="F74" s="2">
        <v>8.2686980000000005</v>
      </c>
      <c r="G74" s="2">
        <v>1.089639</v>
      </c>
      <c r="H74" s="2">
        <v>0.115758</v>
      </c>
      <c r="I74" s="2">
        <v>7.6125999999999999E-2</v>
      </c>
      <c r="J74" s="2">
        <v>0.41004299999999999</v>
      </c>
      <c r="K74" s="2">
        <v>4.6164930000000002</v>
      </c>
      <c r="L74" s="2">
        <v>6.3080590000000001</v>
      </c>
      <c r="M74" s="2">
        <v>93.966459</v>
      </c>
    </row>
    <row r="75" spans="1:13" x14ac:dyDescent="0.35">
      <c r="A75" s="2">
        <v>2012</v>
      </c>
      <c r="B75" s="2">
        <v>17.378233999999999</v>
      </c>
      <c r="C75" s="2">
        <v>26.088581999999999</v>
      </c>
      <c r="D75" s="2">
        <v>33.833083000000002</v>
      </c>
      <c r="E75" s="2">
        <v>77.303882000000002</v>
      </c>
      <c r="F75" s="2">
        <v>8.0618219999999994</v>
      </c>
      <c r="G75" s="2">
        <v>0.94253200000000004</v>
      </c>
      <c r="H75" s="2">
        <v>0.11659899999999999</v>
      </c>
      <c r="I75" s="2">
        <v>9.3797000000000005E-2</v>
      </c>
      <c r="J75" s="2">
        <v>0.48048400000000002</v>
      </c>
      <c r="K75" s="2">
        <v>4.5169509999999997</v>
      </c>
      <c r="L75" s="2">
        <v>6.1503620000000003</v>
      </c>
      <c r="M75" s="2">
        <v>91.677322000000004</v>
      </c>
    </row>
    <row r="76" spans="1:13" x14ac:dyDescent="0.35">
      <c r="A76" s="2">
        <v>2013</v>
      </c>
      <c r="B76" s="2">
        <v>18.038633000000001</v>
      </c>
      <c r="C76" s="2">
        <v>26.805133999999999</v>
      </c>
      <c r="D76" s="2">
        <v>34.397925000000001</v>
      </c>
      <c r="E76" s="2">
        <v>79.224270000000004</v>
      </c>
      <c r="F76" s="2">
        <v>8.2444330000000008</v>
      </c>
      <c r="G76" s="2">
        <v>0.91634499999999997</v>
      </c>
      <c r="H76" s="2">
        <v>0.117323</v>
      </c>
      <c r="I76" s="2">
        <v>0.11965000000000001</v>
      </c>
      <c r="J76" s="2">
        <v>0.57266899999999998</v>
      </c>
      <c r="K76" s="2">
        <v>4.8610350000000002</v>
      </c>
      <c r="L76" s="2">
        <v>6.5870230000000003</v>
      </c>
      <c r="M76" s="2">
        <v>94.253198999999995</v>
      </c>
    </row>
    <row r="77" spans="1:13" x14ac:dyDescent="0.35">
      <c r="A77" s="2">
        <v>2014</v>
      </c>
      <c r="B77" s="2">
        <v>17.997631999999999</v>
      </c>
      <c r="C77" s="2">
        <v>27.382833000000002</v>
      </c>
      <c r="D77" s="2">
        <v>34.657826999999997</v>
      </c>
      <c r="E77" s="2">
        <v>80.016732000000005</v>
      </c>
      <c r="F77" s="2">
        <v>8.3375590000000006</v>
      </c>
      <c r="G77" s="2">
        <v>0.88495900000000005</v>
      </c>
      <c r="H77" s="2">
        <v>0.117672</v>
      </c>
      <c r="I77" s="2">
        <v>0.16105</v>
      </c>
      <c r="J77" s="2">
        <v>0.61980800000000003</v>
      </c>
      <c r="K77" s="2">
        <v>5.0126369999999998</v>
      </c>
      <c r="L77" s="2">
        <v>6.7961260000000001</v>
      </c>
      <c r="M77" s="2">
        <v>95.331975999999997</v>
      </c>
    </row>
    <row r="78" spans="1:13" x14ac:dyDescent="0.35">
      <c r="A78" s="2">
        <v>2015</v>
      </c>
      <c r="B78" s="2">
        <v>15.548870000000001</v>
      </c>
      <c r="C78" s="2">
        <v>28.191095000000001</v>
      </c>
      <c r="D78" s="2">
        <v>35.368127000000001</v>
      </c>
      <c r="E78" s="2">
        <v>79.090311</v>
      </c>
      <c r="F78" s="2">
        <v>8.3368859999999998</v>
      </c>
      <c r="G78" s="2">
        <v>0.84986099999999998</v>
      </c>
      <c r="H78" s="2">
        <v>0.117811</v>
      </c>
      <c r="I78" s="2">
        <v>0.19617499999999999</v>
      </c>
      <c r="J78" s="2">
        <v>0.65073199999999998</v>
      </c>
      <c r="K78" s="2">
        <v>5.0084960000000001</v>
      </c>
      <c r="L78" s="2">
        <v>6.8230740000000001</v>
      </c>
      <c r="M78" s="2">
        <v>94.477751999999995</v>
      </c>
    </row>
    <row r="79" spans="1:13" x14ac:dyDescent="0.35">
      <c r="A79" s="2">
        <v>2016</v>
      </c>
      <c r="B79" s="2">
        <v>14.225904999999999</v>
      </c>
      <c r="C79" s="2">
        <v>28.400352000000002</v>
      </c>
      <c r="D79" s="2">
        <v>35.711903</v>
      </c>
      <c r="E79" s="2">
        <v>78.319019999999995</v>
      </c>
      <c r="F79" s="2">
        <v>8.4267529999999997</v>
      </c>
      <c r="G79" s="2">
        <v>0.913775</v>
      </c>
      <c r="H79" s="2">
        <v>0.11749800000000001</v>
      </c>
      <c r="I79" s="2">
        <v>0.250888</v>
      </c>
      <c r="J79" s="2">
        <v>0.77449900000000005</v>
      </c>
      <c r="K79" s="2">
        <v>5.053445</v>
      </c>
      <c r="L79" s="2">
        <v>7.1101049999999999</v>
      </c>
      <c r="M79" s="2">
        <v>94.082784000000004</v>
      </c>
    </row>
    <row r="80" spans="1:13" x14ac:dyDescent="0.35">
      <c r="A80" s="2">
        <v>2017</v>
      </c>
      <c r="B80" s="2">
        <v>13.837465</v>
      </c>
      <c r="C80" s="2">
        <v>28.048684999999999</v>
      </c>
      <c r="D80" s="2">
        <v>36.043156000000003</v>
      </c>
      <c r="E80" s="2">
        <v>77.900709000000006</v>
      </c>
      <c r="F80" s="2">
        <v>8.4189679999999996</v>
      </c>
      <c r="G80" s="2">
        <v>1.0247360000000001</v>
      </c>
      <c r="H80" s="2">
        <v>0.117842</v>
      </c>
      <c r="I80" s="2">
        <v>0.328623</v>
      </c>
      <c r="J80" s="2">
        <v>0.86768100000000004</v>
      </c>
      <c r="K80" s="2">
        <v>5.0353050000000001</v>
      </c>
      <c r="L80" s="2">
        <v>7.3741859999999999</v>
      </c>
      <c r="M80" s="2">
        <v>93.886007000000006</v>
      </c>
    </row>
    <row r="81" spans="1:13" x14ac:dyDescent="0.35">
      <c r="A81" s="2">
        <v>2018</v>
      </c>
      <c r="B81" s="2">
        <v>13.251531999999999</v>
      </c>
      <c r="C81" s="2">
        <v>31.162834</v>
      </c>
      <c r="D81" s="2">
        <v>36.891820000000003</v>
      </c>
      <c r="E81" s="2">
        <v>81.280531999999994</v>
      </c>
      <c r="F81" s="2">
        <v>8.4380679999999995</v>
      </c>
      <c r="G81" s="2">
        <v>0.99809199999999998</v>
      </c>
      <c r="H81" s="2">
        <v>0.11798</v>
      </c>
      <c r="I81" s="2">
        <v>0.38363399999999998</v>
      </c>
      <c r="J81" s="2">
        <v>0.93034099999999997</v>
      </c>
      <c r="K81" s="2">
        <v>5.0960179999999999</v>
      </c>
      <c r="L81" s="2">
        <v>7.526065</v>
      </c>
      <c r="M81" s="2">
        <v>97.396349999999998</v>
      </c>
    </row>
    <row r="82" spans="1:13" x14ac:dyDescent="0.35">
      <c r="A82" s="2">
        <v>2019</v>
      </c>
      <c r="B82" s="2">
        <v>11.315595</v>
      </c>
      <c r="C82" s="2">
        <v>32.263691999999999</v>
      </c>
      <c r="D82" s="2">
        <v>36.866380999999997</v>
      </c>
      <c r="E82" s="2">
        <v>80.424546000000007</v>
      </c>
      <c r="F82" s="2">
        <v>8.4518520000000006</v>
      </c>
      <c r="G82" s="2">
        <v>0.98222500000000001</v>
      </c>
      <c r="H82" s="2">
        <v>0.11629299999999999</v>
      </c>
      <c r="I82" s="2">
        <v>0.42974699999999999</v>
      </c>
      <c r="J82" s="2">
        <v>1.0095510000000001</v>
      </c>
      <c r="K82" s="2">
        <v>5.0478490000000003</v>
      </c>
      <c r="L82" s="2">
        <v>7.5856640000000004</v>
      </c>
      <c r="M82" s="2">
        <v>96.595281999999997</v>
      </c>
    </row>
    <row r="83" spans="1:13" x14ac:dyDescent="0.35">
      <c r="A83" s="2">
        <v>2020</v>
      </c>
      <c r="B83" s="2">
        <v>9.1811089999999993</v>
      </c>
      <c r="C83" s="2">
        <v>31.669384999999998</v>
      </c>
      <c r="D83" s="2">
        <v>32.331133999999999</v>
      </c>
      <c r="E83" s="2">
        <v>73.168689000000001</v>
      </c>
      <c r="F83" s="2">
        <v>8.2510750000000002</v>
      </c>
      <c r="G83" s="2">
        <v>0.97335499999999997</v>
      </c>
      <c r="H83" s="2">
        <v>0.117716</v>
      </c>
      <c r="I83" s="2">
        <v>0.51056999999999997</v>
      </c>
      <c r="J83" s="2">
        <v>1.1530450000000001</v>
      </c>
      <c r="K83" s="2">
        <v>4.5350609999999998</v>
      </c>
      <c r="L83" s="2">
        <v>7.2897449999999999</v>
      </c>
      <c r="M83" s="2">
        <v>88.870945000000006</v>
      </c>
    </row>
    <row r="84" spans="1:13" x14ac:dyDescent="0.35">
      <c r="A84" s="2">
        <v>2021</v>
      </c>
      <c r="B84" s="2">
        <v>10.548526000000001</v>
      </c>
      <c r="C84" s="2">
        <v>31.711113000000001</v>
      </c>
      <c r="D84" s="2">
        <v>35.242736999999998</v>
      </c>
      <c r="E84" s="2">
        <v>77.453620000000001</v>
      </c>
      <c r="F84" s="2">
        <v>8.1309129999999996</v>
      </c>
      <c r="G84" s="2">
        <v>0.85840700000000003</v>
      </c>
      <c r="H84" s="2">
        <v>0.118007</v>
      </c>
      <c r="I84" s="2">
        <v>0.625305</v>
      </c>
      <c r="J84" s="2">
        <v>1.2904070000000001</v>
      </c>
      <c r="K84" s="2">
        <v>4.7531559999999997</v>
      </c>
      <c r="L84" s="2">
        <v>7.6452840000000002</v>
      </c>
      <c r="M84" s="2">
        <v>93.363947999999993</v>
      </c>
    </row>
    <row r="85" spans="1:13" x14ac:dyDescent="0.35">
      <c r="A85" s="2">
        <v>2022</v>
      </c>
      <c r="B85" s="2">
        <v>9.8879389999999994</v>
      </c>
      <c r="C85" s="2">
        <v>33.378622</v>
      </c>
      <c r="D85" s="2">
        <v>35.318629999999999</v>
      </c>
      <c r="E85" s="2">
        <v>78.529364999999999</v>
      </c>
      <c r="F85" s="2">
        <v>8.0610199999999992</v>
      </c>
      <c r="G85" s="2">
        <v>0.86933899999999997</v>
      </c>
      <c r="H85" s="2">
        <v>0.11838899999999999</v>
      </c>
      <c r="I85" s="2">
        <v>0.76399499999999998</v>
      </c>
      <c r="J85" s="2">
        <v>1.4818229999999999</v>
      </c>
      <c r="K85" s="2">
        <v>4.9801229999999999</v>
      </c>
      <c r="L85" s="2">
        <v>8.2136689999999994</v>
      </c>
      <c r="M85" s="2">
        <v>94.944669000000005</v>
      </c>
    </row>
    <row r="86" spans="1:13" x14ac:dyDescent="0.35">
      <c r="A86" s="2">
        <v>2023</v>
      </c>
      <c r="B86" s="2">
        <v>8.1707879999999999</v>
      </c>
      <c r="C86" s="2">
        <v>33.675905</v>
      </c>
      <c r="D86" s="2">
        <v>35.448230000000002</v>
      </c>
      <c r="E86" s="2">
        <v>77.262486999999993</v>
      </c>
      <c r="F86" s="2">
        <v>8.0989740000000001</v>
      </c>
      <c r="G86" s="2">
        <v>0.83594800000000002</v>
      </c>
      <c r="H86" s="2">
        <v>0.11934599999999999</v>
      </c>
      <c r="I86" s="2">
        <v>0.87841400000000003</v>
      </c>
      <c r="J86" s="2">
        <v>1.4369339999999999</v>
      </c>
      <c r="K86" s="2">
        <v>5.0219709999999997</v>
      </c>
      <c r="L86" s="2">
        <v>8.2926129999999993</v>
      </c>
      <c r="M86" s="2">
        <v>93.718575000000001</v>
      </c>
    </row>
    <row r="87" spans="1:13" x14ac:dyDescent="0.35">
      <c r="A87" s="2">
        <v>2024</v>
      </c>
      <c r="B87" s="2">
        <v>7.9122130000000004</v>
      </c>
      <c r="C87" s="2">
        <v>34.179341000000001</v>
      </c>
      <c r="D87" s="2">
        <v>35.589939999999999</v>
      </c>
      <c r="E87" s="2">
        <v>77.644271000000003</v>
      </c>
      <c r="F87" s="2">
        <v>8.1650189999999991</v>
      </c>
      <c r="G87" s="2">
        <v>0.82876099999999997</v>
      </c>
      <c r="H87" s="2">
        <v>0.11606900000000001</v>
      </c>
      <c r="I87" s="2">
        <v>1.1002460000000001</v>
      </c>
      <c r="J87" s="2">
        <v>1.541898</v>
      </c>
      <c r="K87" s="2">
        <v>5.1122620000000003</v>
      </c>
      <c r="L87" s="2">
        <v>8.6992370000000001</v>
      </c>
      <c r="M87" s="2">
        <v>94.555672000000001</v>
      </c>
    </row>
    <row r="88" spans="1:13" x14ac:dyDescent="0.35">
      <c r="A88" s="2">
        <v>2025</v>
      </c>
      <c r="B88" s="2">
        <v>8.7095400000000005</v>
      </c>
      <c r="C88" s="2">
        <v>34.623645000000003</v>
      </c>
      <c r="D88" s="2">
        <v>35.898732000000003</v>
      </c>
      <c r="E88" s="2">
        <v>79.204843999999994</v>
      </c>
      <c r="F88" s="2">
        <v>8.1954650000000004</v>
      </c>
      <c r="G88" s="2">
        <v>0.84284300000000001</v>
      </c>
      <c r="H88" s="2">
        <v>0.116962</v>
      </c>
      <c r="I88" s="2">
        <v>1.3881300000000001</v>
      </c>
      <c r="J88" s="2">
        <v>1.5845009999999999</v>
      </c>
      <c r="K88" s="2">
        <v>4.8462899999999998</v>
      </c>
      <c r="L88" s="2">
        <v>8.7787260000000007</v>
      </c>
      <c r="M88" s="2">
        <v>96.221200999999994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Energy_Transition_Analysis</vt:lpstr>
      <vt:lpstr>Crossover_Analysis_Charts</vt:lpstr>
      <vt:lpstr>Monthly Data</vt:lpstr>
      <vt:lpstr>Annual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Eddie Kairu</cp:lastModifiedBy>
  <dcterms:created xsi:type="dcterms:W3CDTF">2026-03-26T16:10:16Z</dcterms:created>
  <dcterms:modified xsi:type="dcterms:W3CDTF">2026-03-28T11:35:47Z</dcterms:modified>
</cp:coreProperties>
</file>